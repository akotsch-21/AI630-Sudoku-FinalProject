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anluis.urena/Projects/RIT/csci_630_final_project/resources/"/>
    </mc:Choice>
  </mc:AlternateContent>
  <xr:revisionPtr revIDLastSave="0" documentId="13_ncr:1_{754BFC58-56CE-B343-A815-D7E62E7E1A01}" xr6:coauthVersionLast="47" xr6:coauthVersionMax="47" xr10:uidLastSave="{00000000-0000-0000-0000-000000000000}"/>
  <bookViews>
    <workbookView xWindow="160" yWindow="920" windowWidth="34240" windowHeight="20620" activeTab="1" xr2:uid="{FC9B76F3-4EEB-3D44-A65C-8BBFB2E6A47A}"/>
  </bookViews>
  <sheets>
    <sheet name="Summary" sheetId="7" r:id="rId1"/>
    <sheet name="Difficulty2Graph" sheetId="4" r:id="rId2"/>
    <sheet name="Difficulty3Graph" sheetId="2" r:id="rId3"/>
    <sheet name="Difficulty4Graph" sheetId="3" r:id="rId4"/>
    <sheet name="Data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8" i="7" l="1"/>
  <c r="R7" i="7"/>
  <c r="R6" i="7"/>
  <c r="R5" i="7"/>
  <c r="F8" i="7"/>
  <c r="F7" i="7"/>
  <c r="F6" i="7"/>
  <c r="F5" i="7"/>
  <c r="F4" i="7"/>
  <c r="L8" i="7"/>
  <c r="L7" i="7"/>
  <c r="L6" i="7"/>
  <c r="L5" i="7"/>
  <c r="R4" i="7"/>
  <c r="L4" i="7"/>
  <c r="C4" i="7"/>
  <c r="P8" i="7"/>
  <c r="Q8" i="7"/>
  <c r="P7" i="7"/>
  <c r="Q7" i="7"/>
  <c r="P6" i="7"/>
  <c r="Q6" i="7"/>
  <c r="P5" i="7"/>
  <c r="Q5" i="7"/>
  <c r="P4" i="7"/>
  <c r="Q4" i="7"/>
  <c r="O8" i="7"/>
  <c r="O7" i="7"/>
  <c r="O6" i="7"/>
  <c r="O5" i="7"/>
  <c r="O4" i="7"/>
  <c r="J8" i="7"/>
  <c r="K8" i="7"/>
  <c r="J7" i="7"/>
  <c r="K7" i="7"/>
  <c r="J6" i="7"/>
  <c r="K6" i="7"/>
  <c r="J5" i="7"/>
  <c r="K5" i="7"/>
  <c r="J4" i="7"/>
  <c r="K4" i="7"/>
  <c r="I8" i="7"/>
  <c r="I7" i="7"/>
  <c r="I6" i="7"/>
  <c r="I5" i="7"/>
  <c r="I4" i="7"/>
  <c r="D8" i="7"/>
  <c r="E8" i="7"/>
  <c r="D7" i="7"/>
  <c r="E7" i="7"/>
  <c r="D6" i="7"/>
  <c r="E6" i="7"/>
  <c r="D5" i="7"/>
  <c r="E5" i="7"/>
  <c r="D4" i="7"/>
  <c r="E4" i="7"/>
  <c r="C8" i="7"/>
  <c r="C7" i="7"/>
  <c r="C6" i="7"/>
  <c r="C5" i="7"/>
</calcChain>
</file>

<file path=xl/sharedStrings.xml><?xml version="1.0" encoding="utf-8"?>
<sst xmlns="http://schemas.openxmlformats.org/spreadsheetml/2006/main" count="45" uniqueCount="17">
  <si>
    <t>Board Index</t>
  </si>
  <si>
    <t>Time Backtrack</t>
  </si>
  <si>
    <t>Time ML Backtrack</t>
  </si>
  <si>
    <t>Time Backtrack Modified</t>
  </si>
  <si>
    <t>Backtrack Modified Saved backtracks</t>
  </si>
  <si>
    <t>Backtracking Time</t>
  </si>
  <si>
    <t>Backtracking Modified Time</t>
  </si>
  <si>
    <t>ML Time</t>
  </si>
  <si>
    <t>Difficulty 2</t>
  </si>
  <si>
    <t>Difficulty 3</t>
  </si>
  <si>
    <t>Difficulty 4</t>
  </si>
  <si>
    <t>Average (s)</t>
  </si>
  <si>
    <t>Std (s)</t>
  </si>
  <si>
    <t>Min (s)</t>
  </si>
  <si>
    <t>Median (s)</t>
  </si>
  <si>
    <t>Maximum (s)</t>
  </si>
  <si>
    <t>Backtrack Modified
Saved Backtracks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</si>
</sst>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11" fontId="0" fillId="0" borderId="0" xfId="0" applyNumberFormat="1"/>
    <xf numFmtId="49" fontId="0" fillId="0" borderId="0" xfId="0" applyNumberFormat="1"/>
    <xf numFmtId="0" fontId="2" fillId="3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6" borderId="4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2" fontId="3" fillId="0" borderId="4" xfId="0" applyNumberFormat="1" applyFont="1" applyBorder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2" fillId="6" borderId="4" xfId="0" applyFont="1" applyFill="1" applyBorder="1" applyAlignment="1">
      <alignment horizontal="center" wrapText="1"/>
    </xf>
    <xf numFmtId="0" fontId="2" fillId="8" borderId="4" xfId="0" applyFont="1" applyFill="1" applyBorder="1" applyAlignment="1">
      <alignment horizontal="center" wrapText="1"/>
    </xf>
    <xf numFmtId="1" fontId="3" fillId="0" borderId="4" xfId="0" applyNumberFormat="1" applyFont="1" applyBorder="1" applyAlignment="1">
      <alignment horizontal="right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16"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numFmt numFmtId="15" formatCode="0.00E+00"/>
    </dxf>
    <dxf>
      <numFmt numFmtId="15" formatCode="0.00E+00"/>
    </dxf>
    <dxf>
      <numFmt numFmtId="15" formatCode="0.00E+00"/>
    </dxf>
    <dxf>
      <numFmt numFmtId="30" formatCode="@"/>
    </dxf>
    <dxf>
      <numFmt numFmtId="15" formatCode="0.00E+00"/>
    </dxf>
    <dxf>
      <numFmt numFmtId="15" formatCode="0.00E+00"/>
    </dxf>
    <dxf>
      <numFmt numFmtId="15" formatCode="0.00E+00"/>
    </dxf>
    <dxf>
      <numFmt numFmtId="30" formatCode="@"/>
    </dxf>
    <dxf>
      <numFmt numFmtId="30" formatCode="@"/>
    </dxf>
    <dxf>
      <numFmt numFmtId="15" formatCode="0.00E+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BackTracking Solvers (Difficulty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2"/>
          <c:tx>
            <c:v>Backtracking Modified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Data!$B$1:$B$101</c:f>
              <c:strCache>
                <c:ptCount val="101"/>
                <c:pt idx="0">
                  <c:v>Board Index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</c:strCache>
            </c:strRef>
          </c:xVal>
          <c:yVal>
            <c:numRef>
              <c:f>Data!$E$2:$E$101</c:f>
              <c:numCache>
                <c:formatCode>0.00E+00</c:formatCode>
                <c:ptCount val="100"/>
                <c:pt idx="0">
                  <c:v>0.113376855850219</c:v>
                </c:pt>
                <c:pt idx="1">
                  <c:v>0.17929100990295399</c:v>
                </c:pt>
                <c:pt idx="2">
                  <c:v>0.15759801864624001</c:v>
                </c:pt>
                <c:pt idx="3">
                  <c:v>0.18474698066711401</c:v>
                </c:pt>
                <c:pt idx="4">
                  <c:v>0.19495201110839799</c:v>
                </c:pt>
                <c:pt idx="5">
                  <c:v>0.18502688407897899</c:v>
                </c:pt>
                <c:pt idx="6">
                  <c:v>0.17844128608703599</c:v>
                </c:pt>
                <c:pt idx="7">
                  <c:v>0.19108891487121499</c:v>
                </c:pt>
                <c:pt idx="8">
                  <c:v>0.16890907287597601</c:v>
                </c:pt>
                <c:pt idx="9">
                  <c:v>0.15040683746337799</c:v>
                </c:pt>
                <c:pt idx="10">
                  <c:v>0.168430805206298</c:v>
                </c:pt>
                <c:pt idx="11">
                  <c:v>0.18383121490478499</c:v>
                </c:pt>
                <c:pt idx="12">
                  <c:v>0.20831179618835399</c:v>
                </c:pt>
                <c:pt idx="13">
                  <c:v>0.145172834396362</c:v>
                </c:pt>
                <c:pt idx="14">
                  <c:v>0.15129804611205999</c:v>
                </c:pt>
                <c:pt idx="15">
                  <c:v>0.18373489379882799</c:v>
                </c:pt>
                <c:pt idx="16">
                  <c:v>0.17092704772949199</c:v>
                </c:pt>
                <c:pt idx="17">
                  <c:v>0.16166591644287101</c:v>
                </c:pt>
                <c:pt idx="18">
                  <c:v>0.190129995346069</c:v>
                </c:pt>
                <c:pt idx="19">
                  <c:v>0.22114610671997001</c:v>
                </c:pt>
                <c:pt idx="20">
                  <c:v>0.19766092300415</c:v>
                </c:pt>
                <c:pt idx="21">
                  <c:v>0.23180580139160101</c:v>
                </c:pt>
                <c:pt idx="22">
                  <c:v>0.19895005226135201</c:v>
                </c:pt>
                <c:pt idx="23">
                  <c:v>0.172160148620605</c:v>
                </c:pt>
                <c:pt idx="24">
                  <c:v>0.24401116371154699</c:v>
                </c:pt>
                <c:pt idx="25">
                  <c:v>0.20485305786132799</c:v>
                </c:pt>
                <c:pt idx="26">
                  <c:v>0.20235610008239699</c:v>
                </c:pt>
                <c:pt idx="27">
                  <c:v>0.18224215507507299</c:v>
                </c:pt>
                <c:pt idx="28">
                  <c:v>0.18911218643188399</c:v>
                </c:pt>
                <c:pt idx="29">
                  <c:v>0.271059989929199</c:v>
                </c:pt>
                <c:pt idx="30">
                  <c:v>0.136441946029663</c:v>
                </c:pt>
                <c:pt idx="31">
                  <c:v>0.220844030380249</c:v>
                </c:pt>
                <c:pt idx="32">
                  <c:v>0.162533044815063</c:v>
                </c:pt>
                <c:pt idx="33">
                  <c:v>0.19661808013915999</c:v>
                </c:pt>
                <c:pt idx="34">
                  <c:v>0.17482089996337799</c:v>
                </c:pt>
                <c:pt idx="35">
                  <c:v>0.19883704185485801</c:v>
                </c:pt>
                <c:pt idx="36">
                  <c:v>0.23981285095214799</c:v>
                </c:pt>
                <c:pt idx="37">
                  <c:v>0.161822319030761</c:v>
                </c:pt>
                <c:pt idx="38">
                  <c:v>0.21580266952514601</c:v>
                </c:pt>
                <c:pt idx="39">
                  <c:v>0.26912593841552701</c:v>
                </c:pt>
                <c:pt idx="40">
                  <c:v>0.29851698875427202</c:v>
                </c:pt>
                <c:pt idx="41">
                  <c:v>0.17151594161987299</c:v>
                </c:pt>
                <c:pt idx="42">
                  <c:v>0.15697669982910101</c:v>
                </c:pt>
                <c:pt idx="43">
                  <c:v>0.15813827514648399</c:v>
                </c:pt>
                <c:pt idx="44">
                  <c:v>0.199134826660156</c:v>
                </c:pt>
                <c:pt idx="45">
                  <c:v>0.17713594436645499</c:v>
                </c:pt>
                <c:pt idx="46">
                  <c:v>0.264377832412719</c:v>
                </c:pt>
                <c:pt idx="47">
                  <c:v>0.21146512031555101</c:v>
                </c:pt>
                <c:pt idx="48">
                  <c:v>0.19558191299438399</c:v>
                </c:pt>
                <c:pt idx="49">
                  <c:v>0.154361963272094</c:v>
                </c:pt>
                <c:pt idx="50">
                  <c:v>0.17913293838500899</c:v>
                </c:pt>
                <c:pt idx="51">
                  <c:v>0.25468921661376898</c:v>
                </c:pt>
                <c:pt idx="52">
                  <c:v>0.18141698837280201</c:v>
                </c:pt>
                <c:pt idx="53">
                  <c:v>0.18611311912536599</c:v>
                </c:pt>
                <c:pt idx="54">
                  <c:v>0.152275800704956</c:v>
                </c:pt>
                <c:pt idx="55">
                  <c:v>0.22644686698913499</c:v>
                </c:pt>
                <c:pt idx="56">
                  <c:v>0.201106071472167</c:v>
                </c:pt>
                <c:pt idx="57">
                  <c:v>0.142521142959594</c:v>
                </c:pt>
                <c:pt idx="58">
                  <c:v>0.25608706474304199</c:v>
                </c:pt>
                <c:pt idx="59">
                  <c:v>0.21049118041992099</c:v>
                </c:pt>
                <c:pt idx="60">
                  <c:v>0.21188998222350999</c:v>
                </c:pt>
                <c:pt idx="61">
                  <c:v>0.168894052505493</c:v>
                </c:pt>
                <c:pt idx="62">
                  <c:v>0.18155217170715299</c:v>
                </c:pt>
                <c:pt idx="63">
                  <c:v>0.15064501762390101</c:v>
                </c:pt>
                <c:pt idx="64">
                  <c:v>0.17786026000976499</c:v>
                </c:pt>
                <c:pt idx="65">
                  <c:v>0.201366186141967</c:v>
                </c:pt>
                <c:pt idx="66">
                  <c:v>0.17949914932250899</c:v>
                </c:pt>
                <c:pt idx="67">
                  <c:v>0.15952110290527299</c:v>
                </c:pt>
                <c:pt idx="68">
                  <c:v>0.206943988800048</c:v>
                </c:pt>
                <c:pt idx="69">
                  <c:v>0.188199043273925</c:v>
                </c:pt>
                <c:pt idx="70">
                  <c:v>0.31021618843078602</c:v>
                </c:pt>
                <c:pt idx="71">
                  <c:v>0.20697021484375</c:v>
                </c:pt>
                <c:pt idx="72">
                  <c:v>0.14958310127258301</c:v>
                </c:pt>
                <c:pt idx="73">
                  <c:v>0.19284796714782701</c:v>
                </c:pt>
                <c:pt idx="74">
                  <c:v>0.178382873535156</c:v>
                </c:pt>
                <c:pt idx="75">
                  <c:v>0.209295034408569</c:v>
                </c:pt>
                <c:pt idx="76">
                  <c:v>0.28188180923461897</c:v>
                </c:pt>
                <c:pt idx="77">
                  <c:v>0.14239597320556599</c:v>
                </c:pt>
                <c:pt idx="78">
                  <c:v>0.16155195236205999</c:v>
                </c:pt>
                <c:pt idx="79">
                  <c:v>0.18851208686828599</c:v>
                </c:pt>
                <c:pt idx="80">
                  <c:v>0.15532493591308499</c:v>
                </c:pt>
                <c:pt idx="81">
                  <c:v>0.171282052993774</c:v>
                </c:pt>
                <c:pt idx="82">
                  <c:v>0.24726390838623</c:v>
                </c:pt>
                <c:pt idx="83">
                  <c:v>0.175060033798217</c:v>
                </c:pt>
                <c:pt idx="84">
                  <c:v>0.18081998825073201</c:v>
                </c:pt>
                <c:pt idx="85">
                  <c:v>0.20622992515563901</c:v>
                </c:pt>
                <c:pt idx="86">
                  <c:v>0.220947980880737</c:v>
                </c:pt>
                <c:pt idx="87">
                  <c:v>0.20679783821105899</c:v>
                </c:pt>
                <c:pt idx="88">
                  <c:v>0.14959120750427199</c:v>
                </c:pt>
                <c:pt idx="89">
                  <c:v>0.16973280906677199</c:v>
                </c:pt>
                <c:pt idx="90">
                  <c:v>0.27584815025329501</c:v>
                </c:pt>
                <c:pt idx="91">
                  <c:v>0.18720006942749001</c:v>
                </c:pt>
                <c:pt idx="92">
                  <c:v>0.206427097320556</c:v>
                </c:pt>
                <c:pt idx="93">
                  <c:v>0.13699316978454501</c:v>
                </c:pt>
                <c:pt idx="94">
                  <c:v>0.203202009201049</c:v>
                </c:pt>
                <c:pt idx="95">
                  <c:v>0.23563814163207999</c:v>
                </c:pt>
                <c:pt idx="96">
                  <c:v>0.19069504737854001</c:v>
                </c:pt>
                <c:pt idx="97">
                  <c:v>0.19366025924682601</c:v>
                </c:pt>
                <c:pt idx="98">
                  <c:v>0.16271591186523399</c:v>
                </c:pt>
                <c:pt idx="99">
                  <c:v>0.15499281883239699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EF-6748-8CA9-0742E2BF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537856"/>
        <c:axId val="1787719152"/>
      </c:scatterChart>
      <c:scatterChart>
        <c:scatterStyle val="lineMarker"/>
        <c:varyColors val="0"/>
        <c:ser>
          <c:idx val="2"/>
          <c:order val="0"/>
          <c:tx>
            <c:v>Backtracking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Data!$B$1:$B$101</c:f>
              <c:strCache>
                <c:ptCount val="101"/>
                <c:pt idx="0">
                  <c:v>Board Index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</c:strCache>
            </c:strRef>
          </c:xVal>
          <c:yVal>
            <c:numRef>
              <c:f>Data!$C$2:$C$101</c:f>
              <c:numCache>
                <c:formatCode>0.00E+00</c:formatCode>
                <c:ptCount val="100"/>
                <c:pt idx="0">
                  <c:v>4.08298969268798E-2</c:v>
                </c:pt>
                <c:pt idx="1">
                  <c:v>5.3668737411499003E-2</c:v>
                </c:pt>
                <c:pt idx="2">
                  <c:v>1.50270462036132E-2</c:v>
                </c:pt>
                <c:pt idx="3">
                  <c:v>0.44881606101989702</c:v>
                </c:pt>
                <c:pt idx="4">
                  <c:v>1.08935618400573</c:v>
                </c:pt>
                <c:pt idx="5">
                  <c:v>0.11964297294616601</c:v>
                </c:pt>
                <c:pt idx="6">
                  <c:v>4.0229310989379803</c:v>
                </c:pt>
                <c:pt idx="7">
                  <c:v>0.13371801376342701</c:v>
                </c:pt>
                <c:pt idx="8">
                  <c:v>0.829415082931518</c:v>
                </c:pt>
                <c:pt idx="9">
                  <c:v>8.6948871612548793E-3</c:v>
                </c:pt>
                <c:pt idx="10">
                  <c:v>0.18094182014465299</c:v>
                </c:pt>
                <c:pt idx="11">
                  <c:v>0.108164072036743</c:v>
                </c:pt>
                <c:pt idx="12">
                  <c:v>0.13501214981079099</c:v>
                </c:pt>
                <c:pt idx="13">
                  <c:v>1.03549528121948</c:v>
                </c:pt>
                <c:pt idx="14">
                  <c:v>5.7957172393798802E-3</c:v>
                </c:pt>
                <c:pt idx="15">
                  <c:v>9.1135978698730399E-2</c:v>
                </c:pt>
                <c:pt idx="16">
                  <c:v>3.40139865875244E-2</c:v>
                </c:pt>
                <c:pt idx="17">
                  <c:v>0.122503757476806</c:v>
                </c:pt>
                <c:pt idx="18">
                  <c:v>0.63119482994079501</c:v>
                </c:pt>
                <c:pt idx="19">
                  <c:v>1.0542531013488701</c:v>
                </c:pt>
                <c:pt idx="20">
                  <c:v>1.3285837173461901</c:v>
                </c:pt>
                <c:pt idx="21">
                  <c:v>0.15177106857299799</c:v>
                </c:pt>
                <c:pt idx="22">
                  <c:v>3.83637475967407</c:v>
                </c:pt>
                <c:pt idx="23">
                  <c:v>0.494976997375488</c:v>
                </c:pt>
                <c:pt idx="24">
                  <c:v>2.8973572254180899</c:v>
                </c:pt>
                <c:pt idx="25">
                  <c:v>2.2659990787506099</c:v>
                </c:pt>
                <c:pt idx="26">
                  <c:v>6.3585410118103001</c:v>
                </c:pt>
                <c:pt idx="27">
                  <c:v>0.272648096084594</c:v>
                </c:pt>
                <c:pt idx="28">
                  <c:v>1.3359348773956199</c:v>
                </c:pt>
                <c:pt idx="29">
                  <c:v>0.49271297454833901</c:v>
                </c:pt>
                <c:pt idx="30">
                  <c:v>0.440186977386474</c:v>
                </c:pt>
                <c:pt idx="31">
                  <c:v>1.81693911552429</c:v>
                </c:pt>
                <c:pt idx="32">
                  <c:v>9.5544099807739202E-2</c:v>
                </c:pt>
                <c:pt idx="33">
                  <c:v>6.17342185974121</c:v>
                </c:pt>
                <c:pt idx="34">
                  <c:v>0.18150305747985801</c:v>
                </c:pt>
                <c:pt idx="35">
                  <c:v>2.7217841148376398</c:v>
                </c:pt>
                <c:pt idx="36">
                  <c:v>0.58405208587646396</c:v>
                </c:pt>
                <c:pt idx="37">
                  <c:v>0.104676961898803</c:v>
                </c:pt>
                <c:pt idx="38">
                  <c:v>0.281193017959594</c:v>
                </c:pt>
                <c:pt idx="39">
                  <c:v>5.8268468379974303</c:v>
                </c:pt>
                <c:pt idx="40">
                  <c:v>1.8946828842162999</c:v>
                </c:pt>
                <c:pt idx="41">
                  <c:v>1.35798454284667E-2</c:v>
                </c:pt>
                <c:pt idx="42">
                  <c:v>0.184233903884887</c:v>
                </c:pt>
                <c:pt idx="43">
                  <c:v>0.103547096252441</c:v>
                </c:pt>
                <c:pt idx="44">
                  <c:v>0.95273327827453602</c:v>
                </c:pt>
                <c:pt idx="45">
                  <c:v>0.71391010284423795</c:v>
                </c:pt>
                <c:pt idx="46">
                  <c:v>0.80247497558593694</c:v>
                </c:pt>
                <c:pt idx="47">
                  <c:v>2.2511711120605402</c:v>
                </c:pt>
                <c:pt idx="48">
                  <c:v>3.6492681503295898</c:v>
                </c:pt>
                <c:pt idx="49">
                  <c:v>0.128162622451782</c:v>
                </c:pt>
                <c:pt idx="50">
                  <c:v>8.3721160888671806E-2</c:v>
                </c:pt>
                <c:pt idx="51">
                  <c:v>2.0648999214172301</c:v>
                </c:pt>
                <c:pt idx="52">
                  <c:v>0.58478116989135698</c:v>
                </c:pt>
                <c:pt idx="53">
                  <c:v>0.64195179939269997</c:v>
                </c:pt>
                <c:pt idx="54">
                  <c:v>7.2483062744140597E-2</c:v>
                </c:pt>
                <c:pt idx="55">
                  <c:v>3.06933093070983</c:v>
                </c:pt>
                <c:pt idx="56">
                  <c:v>6.0990719795226997</c:v>
                </c:pt>
                <c:pt idx="57">
                  <c:v>0.75923871994018499</c:v>
                </c:pt>
                <c:pt idx="58">
                  <c:v>1.43334507942199</c:v>
                </c:pt>
                <c:pt idx="59">
                  <c:v>0.27765202522277799</c:v>
                </c:pt>
                <c:pt idx="60">
                  <c:v>0.48362994194030701</c:v>
                </c:pt>
                <c:pt idx="61">
                  <c:v>2.65789294242858</c:v>
                </c:pt>
                <c:pt idx="62">
                  <c:v>1.47240161895751E-2</c:v>
                </c:pt>
                <c:pt idx="63">
                  <c:v>0.177479028701782</c:v>
                </c:pt>
                <c:pt idx="64">
                  <c:v>0.107167959213256</c:v>
                </c:pt>
                <c:pt idx="65">
                  <c:v>0.163088083267211</c:v>
                </c:pt>
                <c:pt idx="66">
                  <c:v>1.72209739685058E-2</c:v>
                </c:pt>
                <c:pt idx="67">
                  <c:v>4.4502973556518499E-2</c:v>
                </c:pt>
                <c:pt idx="68">
                  <c:v>4.4961929321289E-2</c:v>
                </c:pt>
                <c:pt idx="69">
                  <c:v>6.6480159759521401E-2</c:v>
                </c:pt>
                <c:pt idx="70">
                  <c:v>1.75888800621032</c:v>
                </c:pt>
                <c:pt idx="71">
                  <c:v>1.1599779129028299E-2</c:v>
                </c:pt>
                <c:pt idx="72">
                  <c:v>1.02889132499694</c:v>
                </c:pt>
                <c:pt idx="73">
                  <c:v>2.1836042404174801E-2</c:v>
                </c:pt>
                <c:pt idx="74">
                  <c:v>4.0312409400939897</c:v>
                </c:pt>
                <c:pt idx="75">
                  <c:v>3.5925340652465798</c:v>
                </c:pt>
                <c:pt idx="76">
                  <c:v>3.01434898376464</c:v>
                </c:pt>
                <c:pt idx="77">
                  <c:v>0.30627799034118602</c:v>
                </c:pt>
                <c:pt idx="78">
                  <c:v>1.0254859924316399E-2</c:v>
                </c:pt>
                <c:pt idx="79">
                  <c:v>7.3656082153320299E-2</c:v>
                </c:pt>
                <c:pt idx="80">
                  <c:v>1.48992300033569</c:v>
                </c:pt>
                <c:pt idx="81">
                  <c:v>3.4677982330322203E-2</c:v>
                </c:pt>
                <c:pt idx="82">
                  <c:v>1.7835152149200399</c:v>
                </c:pt>
                <c:pt idx="83">
                  <c:v>0.27584505081176702</c:v>
                </c:pt>
                <c:pt idx="84">
                  <c:v>0.27641201019287098</c:v>
                </c:pt>
                <c:pt idx="85">
                  <c:v>2.2397329807281401</c:v>
                </c:pt>
                <c:pt idx="86">
                  <c:v>3.7428660392761199</c:v>
                </c:pt>
                <c:pt idx="87">
                  <c:v>0.93592882156372004</c:v>
                </c:pt>
                <c:pt idx="88">
                  <c:v>0.98570990562438898</c:v>
                </c:pt>
                <c:pt idx="89">
                  <c:v>0.37474727630615201</c:v>
                </c:pt>
                <c:pt idx="90">
                  <c:v>2.9646811485290501</c:v>
                </c:pt>
                <c:pt idx="91">
                  <c:v>6.4628124237060505E-2</c:v>
                </c:pt>
                <c:pt idx="92">
                  <c:v>0.40089082717895502</c:v>
                </c:pt>
                <c:pt idx="93">
                  <c:v>0.93059611320495605</c:v>
                </c:pt>
                <c:pt idx="94">
                  <c:v>1.4520900249481199</c:v>
                </c:pt>
                <c:pt idx="95">
                  <c:v>0.144146919250488</c:v>
                </c:pt>
                <c:pt idx="96">
                  <c:v>2.5543928146362301E-2</c:v>
                </c:pt>
                <c:pt idx="97">
                  <c:v>5.2222013473510701E-2</c:v>
                </c:pt>
                <c:pt idx="98">
                  <c:v>9.5233201980590806E-2</c:v>
                </c:pt>
                <c:pt idx="99">
                  <c:v>0.21936893463134699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06-514A-B5B4-6F2862D0A6B7}"/>
            </c:ext>
          </c:extLst>
        </c:ser>
        <c:ser>
          <c:idx val="3"/>
          <c:order val="1"/>
          <c:tx>
            <c:v>ML Backtracking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Data!$B$1:$B$101</c:f>
              <c:strCache>
                <c:ptCount val="101"/>
                <c:pt idx="0">
                  <c:v>Board Index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</c:strCache>
            </c:strRef>
          </c:xVal>
          <c:yVal>
            <c:numRef>
              <c:f>Data!$D$2:$D$101</c:f>
              <c:numCache>
                <c:formatCode>0.00E+00</c:formatCode>
                <c:ptCount val="100"/>
                <c:pt idx="0">
                  <c:v>0.26318812370300199</c:v>
                </c:pt>
                <c:pt idx="1">
                  <c:v>4.7463893890380797E-2</c:v>
                </c:pt>
                <c:pt idx="2">
                  <c:v>0.12154483795166</c:v>
                </c:pt>
                <c:pt idx="3">
                  <c:v>0.129947900772094</c:v>
                </c:pt>
                <c:pt idx="4">
                  <c:v>6.3498020172119099E-2</c:v>
                </c:pt>
                <c:pt idx="5">
                  <c:v>7.2679996490478502E-2</c:v>
                </c:pt>
                <c:pt idx="6">
                  <c:v>5.2444934844970703E-2</c:v>
                </c:pt>
                <c:pt idx="7">
                  <c:v>8.6581945419311496E-2</c:v>
                </c:pt>
                <c:pt idx="8">
                  <c:v>8.6635112762451102E-2</c:v>
                </c:pt>
                <c:pt idx="9">
                  <c:v>9.9039316177368095E-2</c:v>
                </c:pt>
                <c:pt idx="10">
                  <c:v>3.9536714553833001E-2</c:v>
                </c:pt>
                <c:pt idx="11">
                  <c:v>0.10016202926635701</c:v>
                </c:pt>
                <c:pt idx="12">
                  <c:v>4.13792133331298E-2</c:v>
                </c:pt>
                <c:pt idx="13">
                  <c:v>0.39399123191833402</c:v>
                </c:pt>
                <c:pt idx="14">
                  <c:v>0.14272618293762199</c:v>
                </c:pt>
                <c:pt idx="15">
                  <c:v>9.6304178237914997E-2</c:v>
                </c:pt>
                <c:pt idx="16">
                  <c:v>0.12650704383850001</c:v>
                </c:pt>
                <c:pt idx="17">
                  <c:v>0.181038618087768</c:v>
                </c:pt>
                <c:pt idx="18">
                  <c:v>2.0714998245239199E-2</c:v>
                </c:pt>
                <c:pt idx="19">
                  <c:v>0.11395311355590799</c:v>
                </c:pt>
                <c:pt idx="20">
                  <c:v>0.337955951690673</c:v>
                </c:pt>
                <c:pt idx="21">
                  <c:v>6.0479640960693299E-3</c:v>
                </c:pt>
                <c:pt idx="22">
                  <c:v>0.34418797492980902</c:v>
                </c:pt>
                <c:pt idx="23">
                  <c:v>3.3986806869506801E-2</c:v>
                </c:pt>
                <c:pt idx="24">
                  <c:v>0.36358308792114202</c:v>
                </c:pt>
                <c:pt idx="25">
                  <c:v>0.100410223007202</c:v>
                </c:pt>
                <c:pt idx="26">
                  <c:v>0.165637731552124</c:v>
                </c:pt>
                <c:pt idx="27">
                  <c:v>0.20756506919860801</c:v>
                </c:pt>
                <c:pt idx="28">
                  <c:v>1.1749267578125E-2</c:v>
                </c:pt>
                <c:pt idx="29">
                  <c:v>0.43521380424499501</c:v>
                </c:pt>
                <c:pt idx="30">
                  <c:v>0.227792263031005</c:v>
                </c:pt>
                <c:pt idx="31">
                  <c:v>0.15371584892272899</c:v>
                </c:pt>
                <c:pt idx="32">
                  <c:v>9.9097013473510701E-2</c:v>
                </c:pt>
                <c:pt idx="33">
                  <c:v>0.165482997894287</c:v>
                </c:pt>
                <c:pt idx="34">
                  <c:v>0.108645677566528</c:v>
                </c:pt>
                <c:pt idx="35">
                  <c:v>0.121549129486083</c:v>
                </c:pt>
                <c:pt idx="36">
                  <c:v>8.0441951751708901E-2</c:v>
                </c:pt>
                <c:pt idx="37">
                  <c:v>4.2040824890136698E-2</c:v>
                </c:pt>
                <c:pt idx="38">
                  <c:v>2.8999805450439401E-2</c:v>
                </c:pt>
                <c:pt idx="39">
                  <c:v>6.79779052734375E-2</c:v>
                </c:pt>
                <c:pt idx="40">
                  <c:v>0.49810218811035101</c:v>
                </c:pt>
                <c:pt idx="41">
                  <c:v>1.3870954513549799E-2</c:v>
                </c:pt>
                <c:pt idx="42">
                  <c:v>6.1547994613647398E-2</c:v>
                </c:pt>
                <c:pt idx="43">
                  <c:v>4.0434122085571199E-2</c:v>
                </c:pt>
                <c:pt idx="44">
                  <c:v>2.8418064117431599E-2</c:v>
                </c:pt>
                <c:pt idx="45">
                  <c:v>1.69920921325683E-2</c:v>
                </c:pt>
                <c:pt idx="46">
                  <c:v>2.06778049468994E-2</c:v>
                </c:pt>
                <c:pt idx="47">
                  <c:v>0.101561069488525</c:v>
                </c:pt>
                <c:pt idx="48">
                  <c:v>0.20180487632751401</c:v>
                </c:pt>
                <c:pt idx="49">
                  <c:v>7.6903820037841797E-2</c:v>
                </c:pt>
                <c:pt idx="50">
                  <c:v>4.9988269805908203E-2</c:v>
                </c:pt>
                <c:pt idx="51">
                  <c:v>0.15347194671630801</c:v>
                </c:pt>
                <c:pt idx="52">
                  <c:v>0.38571977615356401</c:v>
                </c:pt>
                <c:pt idx="53">
                  <c:v>1.80280208587646E-2</c:v>
                </c:pt>
                <c:pt idx="54">
                  <c:v>2.6365995407104399E-2</c:v>
                </c:pt>
                <c:pt idx="55">
                  <c:v>0.23131585121154699</c:v>
                </c:pt>
                <c:pt idx="56">
                  <c:v>0.16561388969421301</c:v>
                </c:pt>
                <c:pt idx="57">
                  <c:v>0.13715410232543901</c:v>
                </c:pt>
                <c:pt idx="58">
                  <c:v>0.46149992942809998</c:v>
                </c:pt>
                <c:pt idx="59">
                  <c:v>2.9031038284301699E-2</c:v>
                </c:pt>
                <c:pt idx="60">
                  <c:v>3.8025140762329102E-2</c:v>
                </c:pt>
                <c:pt idx="61">
                  <c:v>0.20245313644409099</c:v>
                </c:pt>
                <c:pt idx="62">
                  <c:v>3.60529422760009E-2</c:v>
                </c:pt>
                <c:pt idx="63">
                  <c:v>0.33927392959594699</c:v>
                </c:pt>
                <c:pt idx="64">
                  <c:v>9.7554206848144503E-2</c:v>
                </c:pt>
                <c:pt idx="65">
                  <c:v>0.19468522071838301</c:v>
                </c:pt>
                <c:pt idx="66">
                  <c:v>5.9899806976318297E-2</c:v>
                </c:pt>
                <c:pt idx="67">
                  <c:v>0.119471788406372</c:v>
                </c:pt>
                <c:pt idx="68">
                  <c:v>5.06491661071777E-2</c:v>
                </c:pt>
                <c:pt idx="69">
                  <c:v>6.1167716979980399E-2</c:v>
                </c:pt>
                <c:pt idx="70">
                  <c:v>0.15301394462585399</c:v>
                </c:pt>
                <c:pt idx="71">
                  <c:v>0.113259077072143</c:v>
                </c:pt>
                <c:pt idx="72">
                  <c:v>0.40637588500976501</c:v>
                </c:pt>
                <c:pt idx="73">
                  <c:v>2.7217149734497001E-2</c:v>
                </c:pt>
                <c:pt idx="74">
                  <c:v>5.1766872406005797E-2</c:v>
                </c:pt>
                <c:pt idx="75">
                  <c:v>1.8217527866363501</c:v>
                </c:pt>
                <c:pt idx="76">
                  <c:v>1.0967607498168901</c:v>
                </c:pt>
                <c:pt idx="77">
                  <c:v>1.1527631282806301</c:v>
                </c:pt>
                <c:pt idx="78">
                  <c:v>0.22264695167541501</c:v>
                </c:pt>
                <c:pt idx="79">
                  <c:v>6.3246726989746094E-2</c:v>
                </c:pt>
                <c:pt idx="80">
                  <c:v>4.6184301376342697E-2</c:v>
                </c:pt>
                <c:pt idx="81">
                  <c:v>0.12637019157409601</c:v>
                </c:pt>
                <c:pt idx="82">
                  <c:v>0.26147103309631298</c:v>
                </c:pt>
                <c:pt idx="83">
                  <c:v>0.16428422927856401</c:v>
                </c:pt>
                <c:pt idx="84">
                  <c:v>0.171010017395019</c:v>
                </c:pt>
                <c:pt idx="85">
                  <c:v>1.1787300109863199</c:v>
                </c:pt>
                <c:pt idx="86">
                  <c:v>7.1641206741332994E-2</c:v>
                </c:pt>
                <c:pt idx="87">
                  <c:v>3.1291961669921799E-2</c:v>
                </c:pt>
                <c:pt idx="88">
                  <c:v>6.5618038177490207E-2</c:v>
                </c:pt>
                <c:pt idx="89">
                  <c:v>0.13406491279602001</c:v>
                </c:pt>
                <c:pt idx="90">
                  <c:v>1.14901494979858</c:v>
                </c:pt>
                <c:pt idx="91">
                  <c:v>0.123480081558227</c:v>
                </c:pt>
                <c:pt idx="92">
                  <c:v>6.5647840499877902E-2</c:v>
                </c:pt>
                <c:pt idx="93">
                  <c:v>0.160340070724487</c:v>
                </c:pt>
                <c:pt idx="94">
                  <c:v>5.9097051620483398E-2</c:v>
                </c:pt>
                <c:pt idx="95">
                  <c:v>6.2839984893798802E-3</c:v>
                </c:pt>
                <c:pt idx="96">
                  <c:v>3.0882596969604399E-2</c:v>
                </c:pt>
                <c:pt idx="97">
                  <c:v>0.15378117561340299</c:v>
                </c:pt>
                <c:pt idx="98">
                  <c:v>0.10491895675659101</c:v>
                </c:pt>
                <c:pt idx="99">
                  <c:v>0.12295794486999501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06-514A-B5B4-6F2862D0A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21664"/>
        <c:axId val="293250464"/>
      </c:scatterChart>
      <c:valAx>
        <c:axId val="17875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719152"/>
        <c:crosses val="autoZero"/>
        <c:crossBetween val="midCat"/>
      </c:valAx>
      <c:valAx>
        <c:axId val="178771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537856"/>
        <c:crosses val="autoZero"/>
        <c:crossBetween val="midCat"/>
      </c:valAx>
      <c:valAx>
        <c:axId val="293250464"/>
        <c:scaling>
          <c:orientation val="minMax"/>
        </c:scaling>
        <c:delete val="0"/>
        <c:axPos val="r"/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21664"/>
        <c:crosses val="max"/>
        <c:crossBetween val="midCat"/>
      </c:valAx>
      <c:valAx>
        <c:axId val="292221664"/>
        <c:scaling>
          <c:orientation val="minMax"/>
        </c:scaling>
        <c:delete val="1"/>
        <c:axPos val="b"/>
        <c:majorTickMark val="out"/>
        <c:minorTickMark val="none"/>
        <c:tickLblPos val="nextTo"/>
        <c:crossAx val="293250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BackTracking Solvers (Difficulty 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v>Backtracking Modified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Data!$H$2:$H$101</c:f>
              <c:numCache>
                <c:formatCode>General</c:formatCode>
                <c:ptCount val="100"/>
                <c:pt idx="0">
                  <c:v>40</c:v>
                </c:pt>
                <c:pt idx="1">
                  <c:v>3</c:v>
                </c:pt>
                <c:pt idx="2">
                  <c:v>87</c:v>
                </c:pt>
                <c:pt idx="3">
                  <c:v>50</c:v>
                </c:pt>
                <c:pt idx="4">
                  <c:v>95</c:v>
                </c:pt>
                <c:pt idx="5">
                  <c:v>42</c:v>
                </c:pt>
                <c:pt idx="6">
                  <c:v>55</c:v>
                </c:pt>
                <c:pt idx="7">
                  <c:v>79</c:v>
                </c:pt>
                <c:pt idx="8">
                  <c:v>11</c:v>
                </c:pt>
                <c:pt idx="9">
                  <c:v>70</c:v>
                </c:pt>
                <c:pt idx="10">
                  <c:v>69</c:v>
                </c:pt>
                <c:pt idx="11">
                  <c:v>12</c:v>
                </c:pt>
                <c:pt idx="12">
                  <c:v>64</c:v>
                </c:pt>
                <c:pt idx="13">
                  <c:v>59</c:v>
                </c:pt>
                <c:pt idx="14">
                  <c:v>44</c:v>
                </c:pt>
                <c:pt idx="15">
                  <c:v>57</c:v>
                </c:pt>
                <c:pt idx="16">
                  <c:v>35</c:v>
                </c:pt>
                <c:pt idx="17">
                  <c:v>23</c:v>
                </c:pt>
                <c:pt idx="18">
                  <c:v>73</c:v>
                </c:pt>
                <c:pt idx="19">
                  <c:v>63</c:v>
                </c:pt>
                <c:pt idx="20">
                  <c:v>16</c:v>
                </c:pt>
                <c:pt idx="21">
                  <c:v>6</c:v>
                </c:pt>
                <c:pt idx="22">
                  <c:v>91</c:v>
                </c:pt>
                <c:pt idx="23">
                  <c:v>47</c:v>
                </c:pt>
                <c:pt idx="24">
                  <c:v>60</c:v>
                </c:pt>
                <c:pt idx="25">
                  <c:v>5</c:v>
                </c:pt>
                <c:pt idx="26">
                  <c:v>80</c:v>
                </c:pt>
                <c:pt idx="27">
                  <c:v>36</c:v>
                </c:pt>
                <c:pt idx="28">
                  <c:v>31</c:v>
                </c:pt>
                <c:pt idx="29">
                  <c:v>22</c:v>
                </c:pt>
                <c:pt idx="30">
                  <c:v>43</c:v>
                </c:pt>
                <c:pt idx="31">
                  <c:v>62</c:v>
                </c:pt>
                <c:pt idx="32">
                  <c:v>75</c:v>
                </c:pt>
                <c:pt idx="33">
                  <c:v>67</c:v>
                </c:pt>
                <c:pt idx="34">
                  <c:v>66</c:v>
                </c:pt>
                <c:pt idx="35">
                  <c:v>71</c:v>
                </c:pt>
                <c:pt idx="36">
                  <c:v>18</c:v>
                </c:pt>
                <c:pt idx="37">
                  <c:v>96</c:v>
                </c:pt>
                <c:pt idx="38">
                  <c:v>68</c:v>
                </c:pt>
                <c:pt idx="39">
                  <c:v>27</c:v>
                </c:pt>
                <c:pt idx="40">
                  <c:v>33</c:v>
                </c:pt>
                <c:pt idx="41">
                  <c:v>24</c:v>
                </c:pt>
                <c:pt idx="42">
                  <c:v>4</c:v>
                </c:pt>
                <c:pt idx="43">
                  <c:v>25</c:v>
                </c:pt>
                <c:pt idx="44">
                  <c:v>86</c:v>
                </c:pt>
                <c:pt idx="45">
                  <c:v>53</c:v>
                </c:pt>
                <c:pt idx="46">
                  <c:v>19</c:v>
                </c:pt>
                <c:pt idx="47">
                  <c:v>85</c:v>
                </c:pt>
                <c:pt idx="48">
                  <c:v>20</c:v>
                </c:pt>
                <c:pt idx="49">
                  <c:v>28</c:v>
                </c:pt>
                <c:pt idx="50">
                  <c:v>34</c:v>
                </c:pt>
                <c:pt idx="51">
                  <c:v>29</c:v>
                </c:pt>
                <c:pt idx="52">
                  <c:v>0</c:v>
                </c:pt>
                <c:pt idx="53">
                  <c:v>81</c:v>
                </c:pt>
                <c:pt idx="54">
                  <c:v>74</c:v>
                </c:pt>
                <c:pt idx="55">
                  <c:v>88</c:v>
                </c:pt>
                <c:pt idx="56">
                  <c:v>83</c:v>
                </c:pt>
                <c:pt idx="57">
                  <c:v>37</c:v>
                </c:pt>
                <c:pt idx="58">
                  <c:v>93</c:v>
                </c:pt>
                <c:pt idx="59">
                  <c:v>58</c:v>
                </c:pt>
                <c:pt idx="60">
                  <c:v>13</c:v>
                </c:pt>
                <c:pt idx="61">
                  <c:v>54</c:v>
                </c:pt>
                <c:pt idx="62">
                  <c:v>77</c:v>
                </c:pt>
                <c:pt idx="63">
                  <c:v>90</c:v>
                </c:pt>
                <c:pt idx="64">
                  <c:v>61</c:v>
                </c:pt>
                <c:pt idx="65">
                  <c:v>72</c:v>
                </c:pt>
                <c:pt idx="66">
                  <c:v>46</c:v>
                </c:pt>
                <c:pt idx="67">
                  <c:v>45</c:v>
                </c:pt>
                <c:pt idx="68">
                  <c:v>92</c:v>
                </c:pt>
                <c:pt idx="69">
                  <c:v>30</c:v>
                </c:pt>
                <c:pt idx="70">
                  <c:v>1</c:v>
                </c:pt>
                <c:pt idx="71">
                  <c:v>39</c:v>
                </c:pt>
                <c:pt idx="72">
                  <c:v>98</c:v>
                </c:pt>
                <c:pt idx="73">
                  <c:v>51</c:v>
                </c:pt>
                <c:pt idx="74">
                  <c:v>94</c:v>
                </c:pt>
                <c:pt idx="75">
                  <c:v>52</c:v>
                </c:pt>
                <c:pt idx="76">
                  <c:v>21</c:v>
                </c:pt>
                <c:pt idx="77">
                  <c:v>99</c:v>
                </c:pt>
                <c:pt idx="78">
                  <c:v>8</c:v>
                </c:pt>
                <c:pt idx="79">
                  <c:v>14</c:v>
                </c:pt>
                <c:pt idx="80">
                  <c:v>78</c:v>
                </c:pt>
                <c:pt idx="81">
                  <c:v>89</c:v>
                </c:pt>
                <c:pt idx="82">
                  <c:v>2</c:v>
                </c:pt>
                <c:pt idx="83">
                  <c:v>9</c:v>
                </c:pt>
                <c:pt idx="84">
                  <c:v>41</c:v>
                </c:pt>
                <c:pt idx="85">
                  <c:v>48</c:v>
                </c:pt>
                <c:pt idx="86">
                  <c:v>15</c:v>
                </c:pt>
                <c:pt idx="87">
                  <c:v>38</c:v>
                </c:pt>
                <c:pt idx="88">
                  <c:v>7</c:v>
                </c:pt>
                <c:pt idx="89">
                  <c:v>32</c:v>
                </c:pt>
                <c:pt idx="90">
                  <c:v>76</c:v>
                </c:pt>
                <c:pt idx="91">
                  <c:v>56</c:v>
                </c:pt>
                <c:pt idx="92">
                  <c:v>82</c:v>
                </c:pt>
                <c:pt idx="93">
                  <c:v>17</c:v>
                </c:pt>
                <c:pt idx="94">
                  <c:v>49</c:v>
                </c:pt>
                <c:pt idx="95">
                  <c:v>84</c:v>
                </c:pt>
                <c:pt idx="96">
                  <c:v>97</c:v>
                </c:pt>
                <c:pt idx="97">
                  <c:v>26</c:v>
                </c:pt>
                <c:pt idx="98">
                  <c:v>65</c:v>
                </c:pt>
                <c:pt idx="99">
                  <c:v>10</c:v>
                </c:pt>
              </c:numCache>
            </c:numRef>
          </c:xVal>
          <c:yVal>
            <c:numRef>
              <c:f>Data!$K$2:$K$101</c:f>
              <c:numCache>
                <c:formatCode>0.00E+00</c:formatCode>
                <c:ptCount val="100"/>
                <c:pt idx="0">
                  <c:v>0.17857193946838301</c:v>
                </c:pt>
                <c:pt idx="1">
                  <c:v>0.20505905151367099</c:v>
                </c:pt>
                <c:pt idx="2">
                  <c:v>0.24343776702880801</c:v>
                </c:pt>
                <c:pt idx="3">
                  <c:v>1.09746289253234</c:v>
                </c:pt>
                <c:pt idx="4">
                  <c:v>0.74458575248718195</c:v>
                </c:pt>
                <c:pt idx="5">
                  <c:v>0.34394311904907199</c:v>
                </c:pt>
                <c:pt idx="6">
                  <c:v>0.45211005210876398</c:v>
                </c:pt>
                <c:pt idx="7">
                  <c:v>0.52914905548095703</c:v>
                </c:pt>
                <c:pt idx="8">
                  <c:v>0.52266216278076105</c:v>
                </c:pt>
                <c:pt idx="9">
                  <c:v>0.36478710174560502</c:v>
                </c:pt>
                <c:pt idx="10">
                  <c:v>0.55305123329162598</c:v>
                </c:pt>
                <c:pt idx="11">
                  <c:v>0.55150008201599099</c:v>
                </c:pt>
                <c:pt idx="12">
                  <c:v>1.0423560142517001</c:v>
                </c:pt>
                <c:pt idx="13">
                  <c:v>1.8687150478362999</c:v>
                </c:pt>
                <c:pt idx="14">
                  <c:v>1.0418670177459699</c:v>
                </c:pt>
                <c:pt idx="15">
                  <c:v>0.30447483062744102</c:v>
                </c:pt>
                <c:pt idx="16">
                  <c:v>1.14458799362182</c:v>
                </c:pt>
                <c:pt idx="17">
                  <c:v>0.52265691757202104</c:v>
                </c:pt>
                <c:pt idx="18">
                  <c:v>0.63775992393493597</c:v>
                </c:pt>
                <c:pt idx="19">
                  <c:v>0.227314949035644</c:v>
                </c:pt>
                <c:pt idx="20">
                  <c:v>0.262370824813842</c:v>
                </c:pt>
                <c:pt idx="21">
                  <c:v>0.33943200111389099</c:v>
                </c:pt>
                <c:pt idx="22">
                  <c:v>0.20501804351806599</c:v>
                </c:pt>
                <c:pt idx="23">
                  <c:v>0.15836024284362701</c:v>
                </c:pt>
                <c:pt idx="24">
                  <c:v>0.21481490135192799</c:v>
                </c:pt>
                <c:pt idx="25">
                  <c:v>0.35925626754760698</c:v>
                </c:pt>
                <c:pt idx="26">
                  <c:v>0.14667963981628401</c:v>
                </c:pt>
                <c:pt idx="27">
                  <c:v>0.26184296607971103</c:v>
                </c:pt>
                <c:pt idx="28">
                  <c:v>0.248635053634643</c:v>
                </c:pt>
                <c:pt idx="29">
                  <c:v>0.165396928787231</c:v>
                </c:pt>
                <c:pt idx="30">
                  <c:v>0.22998499870300201</c:v>
                </c:pt>
                <c:pt idx="31">
                  <c:v>0.14233088493347101</c:v>
                </c:pt>
                <c:pt idx="32">
                  <c:v>0.154348134994506</c:v>
                </c:pt>
                <c:pt idx="33">
                  <c:v>0.31372714042663502</c:v>
                </c:pt>
                <c:pt idx="34">
                  <c:v>0.40062594413757302</c:v>
                </c:pt>
                <c:pt idx="35">
                  <c:v>0.157762050628662</c:v>
                </c:pt>
                <c:pt idx="36">
                  <c:v>0.75472998619079501</c:v>
                </c:pt>
                <c:pt idx="37">
                  <c:v>0.33234715461730902</c:v>
                </c:pt>
                <c:pt idx="38">
                  <c:v>0.12250089645385701</c:v>
                </c:pt>
                <c:pt idx="39">
                  <c:v>0.14544796943664501</c:v>
                </c:pt>
                <c:pt idx="40">
                  <c:v>0.45605802536010698</c:v>
                </c:pt>
                <c:pt idx="41">
                  <c:v>0.79489517211913996</c:v>
                </c:pt>
                <c:pt idx="42">
                  <c:v>0.330554008483886</c:v>
                </c:pt>
                <c:pt idx="43">
                  <c:v>0.14214706420898399</c:v>
                </c:pt>
                <c:pt idx="44">
                  <c:v>0.19215488433837799</c:v>
                </c:pt>
                <c:pt idx="45">
                  <c:v>0.19662594795227001</c:v>
                </c:pt>
                <c:pt idx="46">
                  <c:v>0.13266301155090299</c:v>
                </c:pt>
                <c:pt idx="47">
                  <c:v>0.240009784698486</c:v>
                </c:pt>
                <c:pt idx="48">
                  <c:v>0.29303002357482899</c:v>
                </c:pt>
                <c:pt idx="49">
                  <c:v>0.119233846664428</c:v>
                </c:pt>
                <c:pt idx="50">
                  <c:v>0.121209144592285</c:v>
                </c:pt>
                <c:pt idx="51">
                  <c:v>0.20422697067260701</c:v>
                </c:pt>
                <c:pt idx="52">
                  <c:v>0.21850013732910101</c:v>
                </c:pt>
                <c:pt idx="53">
                  <c:v>0.388411045074462</c:v>
                </c:pt>
                <c:pt idx="54">
                  <c:v>0.242542743682861</c:v>
                </c:pt>
                <c:pt idx="55">
                  <c:v>0.704329013824462</c:v>
                </c:pt>
                <c:pt idx="56">
                  <c:v>0.20124387741088801</c:v>
                </c:pt>
                <c:pt idx="57">
                  <c:v>0.169613122940063</c:v>
                </c:pt>
                <c:pt idx="58">
                  <c:v>0.15936303138732899</c:v>
                </c:pt>
                <c:pt idx="59">
                  <c:v>0.19024825096130299</c:v>
                </c:pt>
                <c:pt idx="60">
                  <c:v>0.120954275131225</c:v>
                </c:pt>
                <c:pt idx="61">
                  <c:v>0.17128229141235299</c:v>
                </c:pt>
                <c:pt idx="62">
                  <c:v>0.20866489410400299</c:v>
                </c:pt>
                <c:pt idx="63">
                  <c:v>0.144291162490844</c:v>
                </c:pt>
                <c:pt idx="64">
                  <c:v>0.12977409362792899</c:v>
                </c:pt>
                <c:pt idx="65">
                  <c:v>0.49737906455993602</c:v>
                </c:pt>
                <c:pt idx="66">
                  <c:v>0.15458512306213301</c:v>
                </c:pt>
                <c:pt idx="67">
                  <c:v>0.34239172935485801</c:v>
                </c:pt>
                <c:pt idx="68">
                  <c:v>0.102969884872436</c:v>
                </c:pt>
                <c:pt idx="69">
                  <c:v>0.14361906051635701</c:v>
                </c:pt>
                <c:pt idx="70">
                  <c:v>1.4335789680480899</c:v>
                </c:pt>
                <c:pt idx="71">
                  <c:v>0.133055925369262</c:v>
                </c:pt>
                <c:pt idx="72">
                  <c:v>0.102138757705688</c:v>
                </c:pt>
                <c:pt idx="73">
                  <c:v>0.354343891143798</c:v>
                </c:pt>
                <c:pt idx="74">
                  <c:v>0.202722072601318</c:v>
                </c:pt>
                <c:pt idx="75">
                  <c:v>0.344322919845581</c:v>
                </c:pt>
                <c:pt idx="76">
                  <c:v>0.24010920524597101</c:v>
                </c:pt>
                <c:pt idx="77">
                  <c:v>0.24748802185058499</c:v>
                </c:pt>
                <c:pt idx="78">
                  <c:v>0.34819912910461398</c:v>
                </c:pt>
                <c:pt idx="79">
                  <c:v>0.124025106430053</c:v>
                </c:pt>
                <c:pt idx="80">
                  <c:v>0.157094001770019</c:v>
                </c:pt>
                <c:pt idx="81">
                  <c:v>0.124696969985961</c:v>
                </c:pt>
                <c:pt idx="82">
                  <c:v>0.1251802444458</c:v>
                </c:pt>
                <c:pt idx="83">
                  <c:v>0.148117065429687</c:v>
                </c:pt>
                <c:pt idx="84">
                  <c:v>0.22199511528015101</c:v>
                </c:pt>
                <c:pt idx="85">
                  <c:v>0.14619684219360299</c:v>
                </c:pt>
                <c:pt idx="86">
                  <c:v>0.16192197799682601</c:v>
                </c:pt>
                <c:pt idx="87">
                  <c:v>0.17334008216857899</c:v>
                </c:pt>
                <c:pt idx="88">
                  <c:v>0.59561800956725997</c:v>
                </c:pt>
                <c:pt idx="89">
                  <c:v>0.15778088569641099</c:v>
                </c:pt>
                <c:pt idx="90">
                  <c:v>0.141336679458618</c:v>
                </c:pt>
                <c:pt idx="91">
                  <c:v>0.133753776550292</c:v>
                </c:pt>
                <c:pt idx="92">
                  <c:v>0.20977783203125</c:v>
                </c:pt>
                <c:pt idx="93">
                  <c:v>0.240293979644775</c:v>
                </c:pt>
                <c:pt idx="94">
                  <c:v>0.14683699607849099</c:v>
                </c:pt>
                <c:pt idx="95">
                  <c:v>0.164417028427124</c:v>
                </c:pt>
                <c:pt idx="96">
                  <c:v>0.146089792251586</c:v>
                </c:pt>
                <c:pt idx="97">
                  <c:v>0.219967126846313</c:v>
                </c:pt>
                <c:pt idx="98">
                  <c:v>0.169054985046386</c:v>
                </c:pt>
                <c:pt idx="99">
                  <c:v>0.244622707366943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E97-5544-9890-1D3034FEF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537856"/>
        <c:axId val="1787719152"/>
      </c:scatterChart>
      <c:scatterChart>
        <c:scatterStyle val="lineMarker"/>
        <c:varyColors val="0"/>
        <c:ser>
          <c:idx val="0"/>
          <c:order val="0"/>
          <c:tx>
            <c:v>Backtracking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Data!$H$2:$H$101</c:f>
              <c:numCache>
                <c:formatCode>General</c:formatCode>
                <c:ptCount val="100"/>
                <c:pt idx="0">
                  <c:v>40</c:v>
                </c:pt>
                <c:pt idx="1">
                  <c:v>3</c:v>
                </c:pt>
                <c:pt idx="2">
                  <c:v>87</c:v>
                </c:pt>
                <c:pt idx="3">
                  <c:v>50</c:v>
                </c:pt>
                <c:pt idx="4">
                  <c:v>95</c:v>
                </c:pt>
                <c:pt idx="5">
                  <c:v>42</c:v>
                </c:pt>
                <c:pt idx="6">
                  <c:v>55</c:v>
                </c:pt>
                <c:pt idx="7">
                  <c:v>79</c:v>
                </c:pt>
                <c:pt idx="8">
                  <c:v>11</c:v>
                </c:pt>
                <c:pt idx="9">
                  <c:v>70</c:v>
                </c:pt>
                <c:pt idx="10">
                  <c:v>69</c:v>
                </c:pt>
                <c:pt idx="11">
                  <c:v>12</c:v>
                </c:pt>
                <c:pt idx="12">
                  <c:v>64</c:v>
                </c:pt>
                <c:pt idx="13">
                  <c:v>59</c:v>
                </c:pt>
                <c:pt idx="14">
                  <c:v>44</c:v>
                </c:pt>
                <c:pt idx="15">
                  <c:v>57</c:v>
                </c:pt>
                <c:pt idx="16">
                  <c:v>35</c:v>
                </c:pt>
                <c:pt idx="17">
                  <c:v>23</c:v>
                </c:pt>
                <c:pt idx="18">
                  <c:v>73</c:v>
                </c:pt>
                <c:pt idx="19">
                  <c:v>63</c:v>
                </c:pt>
                <c:pt idx="20">
                  <c:v>16</c:v>
                </c:pt>
                <c:pt idx="21">
                  <c:v>6</c:v>
                </c:pt>
                <c:pt idx="22">
                  <c:v>91</c:v>
                </c:pt>
                <c:pt idx="23">
                  <c:v>47</c:v>
                </c:pt>
                <c:pt idx="24">
                  <c:v>60</c:v>
                </c:pt>
                <c:pt idx="25">
                  <c:v>5</c:v>
                </c:pt>
                <c:pt idx="26">
                  <c:v>80</c:v>
                </c:pt>
                <c:pt idx="27">
                  <c:v>36</c:v>
                </c:pt>
                <c:pt idx="28">
                  <c:v>31</c:v>
                </c:pt>
                <c:pt idx="29">
                  <c:v>22</c:v>
                </c:pt>
                <c:pt idx="30">
                  <c:v>43</c:v>
                </c:pt>
                <c:pt idx="31">
                  <c:v>62</c:v>
                </c:pt>
                <c:pt idx="32">
                  <c:v>75</c:v>
                </c:pt>
                <c:pt idx="33">
                  <c:v>67</c:v>
                </c:pt>
                <c:pt idx="34">
                  <c:v>66</c:v>
                </c:pt>
                <c:pt idx="35">
                  <c:v>71</c:v>
                </c:pt>
                <c:pt idx="36">
                  <c:v>18</c:v>
                </c:pt>
                <c:pt idx="37">
                  <c:v>96</c:v>
                </c:pt>
                <c:pt idx="38">
                  <c:v>68</c:v>
                </c:pt>
                <c:pt idx="39">
                  <c:v>27</c:v>
                </c:pt>
                <c:pt idx="40">
                  <c:v>33</c:v>
                </c:pt>
                <c:pt idx="41">
                  <c:v>24</c:v>
                </c:pt>
                <c:pt idx="42">
                  <c:v>4</c:v>
                </c:pt>
                <c:pt idx="43">
                  <c:v>25</c:v>
                </c:pt>
                <c:pt idx="44">
                  <c:v>86</c:v>
                </c:pt>
                <c:pt idx="45">
                  <c:v>53</c:v>
                </c:pt>
                <c:pt idx="46">
                  <c:v>19</c:v>
                </c:pt>
                <c:pt idx="47">
                  <c:v>85</c:v>
                </c:pt>
                <c:pt idx="48">
                  <c:v>20</c:v>
                </c:pt>
                <c:pt idx="49">
                  <c:v>28</c:v>
                </c:pt>
                <c:pt idx="50">
                  <c:v>34</c:v>
                </c:pt>
                <c:pt idx="51">
                  <c:v>29</c:v>
                </c:pt>
                <c:pt idx="52">
                  <c:v>0</c:v>
                </c:pt>
                <c:pt idx="53">
                  <c:v>81</c:v>
                </c:pt>
                <c:pt idx="54">
                  <c:v>74</c:v>
                </c:pt>
                <c:pt idx="55">
                  <c:v>88</c:v>
                </c:pt>
                <c:pt idx="56">
                  <c:v>83</c:v>
                </c:pt>
                <c:pt idx="57">
                  <c:v>37</c:v>
                </c:pt>
                <c:pt idx="58">
                  <c:v>93</c:v>
                </c:pt>
                <c:pt idx="59">
                  <c:v>58</c:v>
                </c:pt>
                <c:pt idx="60">
                  <c:v>13</c:v>
                </c:pt>
                <c:pt idx="61">
                  <c:v>54</c:v>
                </c:pt>
                <c:pt idx="62">
                  <c:v>77</c:v>
                </c:pt>
                <c:pt idx="63">
                  <c:v>90</c:v>
                </c:pt>
                <c:pt idx="64">
                  <c:v>61</c:v>
                </c:pt>
                <c:pt idx="65">
                  <c:v>72</c:v>
                </c:pt>
                <c:pt idx="66">
                  <c:v>46</c:v>
                </c:pt>
                <c:pt idx="67">
                  <c:v>45</c:v>
                </c:pt>
                <c:pt idx="68">
                  <c:v>92</c:v>
                </c:pt>
                <c:pt idx="69">
                  <c:v>30</c:v>
                </c:pt>
                <c:pt idx="70">
                  <c:v>1</c:v>
                </c:pt>
                <c:pt idx="71">
                  <c:v>39</c:v>
                </c:pt>
                <c:pt idx="72">
                  <c:v>98</c:v>
                </c:pt>
                <c:pt idx="73">
                  <c:v>51</c:v>
                </c:pt>
                <c:pt idx="74">
                  <c:v>94</c:v>
                </c:pt>
                <c:pt idx="75">
                  <c:v>52</c:v>
                </c:pt>
                <c:pt idx="76">
                  <c:v>21</c:v>
                </c:pt>
                <c:pt idx="77">
                  <c:v>99</c:v>
                </c:pt>
                <c:pt idx="78">
                  <c:v>8</c:v>
                </c:pt>
                <c:pt idx="79">
                  <c:v>14</c:v>
                </c:pt>
                <c:pt idx="80">
                  <c:v>78</c:v>
                </c:pt>
                <c:pt idx="81">
                  <c:v>89</c:v>
                </c:pt>
                <c:pt idx="82">
                  <c:v>2</c:v>
                </c:pt>
                <c:pt idx="83">
                  <c:v>9</c:v>
                </c:pt>
                <c:pt idx="84">
                  <c:v>41</c:v>
                </c:pt>
                <c:pt idx="85">
                  <c:v>48</c:v>
                </c:pt>
                <c:pt idx="86">
                  <c:v>15</c:v>
                </c:pt>
                <c:pt idx="87">
                  <c:v>38</c:v>
                </c:pt>
                <c:pt idx="88">
                  <c:v>7</c:v>
                </c:pt>
                <c:pt idx="89">
                  <c:v>32</c:v>
                </c:pt>
                <c:pt idx="90">
                  <c:v>76</c:v>
                </c:pt>
                <c:pt idx="91">
                  <c:v>56</c:v>
                </c:pt>
                <c:pt idx="92">
                  <c:v>82</c:v>
                </c:pt>
                <c:pt idx="93">
                  <c:v>17</c:v>
                </c:pt>
                <c:pt idx="94">
                  <c:v>49</c:v>
                </c:pt>
                <c:pt idx="95">
                  <c:v>84</c:v>
                </c:pt>
                <c:pt idx="96">
                  <c:v>97</c:v>
                </c:pt>
                <c:pt idx="97">
                  <c:v>26</c:v>
                </c:pt>
                <c:pt idx="98">
                  <c:v>65</c:v>
                </c:pt>
                <c:pt idx="99">
                  <c:v>10</c:v>
                </c:pt>
              </c:numCache>
            </c:numRef>
          </c:xVal>
          <c:yVal>
            <c:numRef>
              <c:f>Data!$I$2:$I$101</c:f>
              <c:numCache>
                <c:formatCode>0.00E+00</c:formatCode>
                <c:ptCount val="100"/>
                <c:pt idx="0">
                  <c:v>0.63574814796447698</c:v>
                </c:pt>
                <c:pt idx="1">
                  <c:v>0.67248797416687001</c:v>
                </c:pt>
                <c:pt idx="2">
                  <c:v>0.92527294158935502</c:v>
                </c:pt>
                <c:pt idx="3">
                  <c:v>2.3012890815734801</c:v>
                </c:pt>
                <c:pt idx="4">
                  <c:v>4.58033919334411</c:v>
                </c:pt>
                <c:pt idx="5">
                  <c:v>7.7259588241577104</c:v>
                </c:pt>
                <c:pt idx="6">
                  <c:v>3.1966860294342001</c:v>
                </c:pt>
                <c:pt idx="7">
                  <c:v>2.2461478710174498</c:v>
                </c:pt>
                <c:pt idx="8">
                  <c:v>2.1987838745117099</c:v>
                </c:pt>
                <c:pt idx="9">
                  <c:v>1.2115390300750699</c:v>
                </c:pt>
                <c:pt idx="10">
                  <c:v>3.61444091796875</c:v>
                </c:pt>
                <c:pt idx="11">
                  <c:v>3.58169317245483</c:v>
                </c:pt>
                <c:pt idx="12">
                  <c:v>7.4325051307678196</c:v>
                </c:pt>
                <c:pt idx="13">
                  <c:v>8.6656148433685303</c:v>
                </c:pt>
                <c:pt idx="14">
                  <c:v>7.7787671089172301</c:v>
                </c:pt>
                <c:pt idx="15">
                  <c:v>2.02232670783996</c:v>
                </c:pt>
                <c:pt idx="16">
                  <c:v>8.8277449607849103</c:v>
                </c:pt>
                <c:pt idx="17">
                  <c:v>0.58479619026184004</c:v>
                </c:pt>
                <c:pt idx="18">
                  <c:v>3.85398125648498</c:v>
                </c:pt>
                <c:pt idx="19">
                  <c:v>5.5936720371246302</c:v>
                </c:pt>
                <c:pt idx="20">
                  <c:v>3.6517651081085201</c:v>
                </c:pt>
                <c:pt idx="21">
                  <c:v>5.6195430755615199</c:v>
                </c:pt>
                <c:pt idx="22">
                  <c:v>0.41013193130493097</c:v>
                </c:pt>
                <c:pt idx="23">
                  <c:v>0.61340904235839799</c:v>
                </c:pt>
                <c:pt idx="24">
                  <c:v>0.32797193527221602</c:v>
                </c:pt>
                <c:pt idx="25">
                  <c:v>6.7180817127227703</c:v>
                </c:pt>
                <c:pt idx="26">
                  <c:v>0.55781292915344205</c:v>
                </c:pt>
                <c:pt idx="27">
                  <c:v>2.8732061386108398</c:v>
                </c:pt>
                <c:pt idx="28">
                  <c:v>3.7193307876586901</c:v>
                </c:pt>
                <c:pt idx="29">
                  <c:v>3.48941826820373</c:v>
                </c:pt>
                <c:pt idx="30">
                  <c:v>5.3327088356018004</c:v>
                </c:pt>
                <c:pt idx="31">
                  <c:v>0.87315201759338301</c:v>
                </c:pt>
                <c:pt idx="32">
                  <c:v>0.607019662857055</c:v>
                </c:pt>
                <c:pt idx="33">
                  <c:v>9.0804507732391304</c:v>
                </c:pt>
                <c:pt idx="34">
                  <c:v>1.1419529914855899</c:v>
                </c:pt>
                <c:pt idx="35">
                  <c:v>0.28522109985351501</c:v>
                </c:pt>
                <c:pt idx="36">
                  <c:v>8.0352280139923096</c:v>
                </c:pt>
                <c:pt idx="37">
                  <c:v>1.78020024299621</c:v>
                </c:pt>
                <c:pt idx="38">
                  <c:v>0.12798070907592701</c:v>
                </c:pt>
                <c:pt idx="39">
                  <c:v>2.2817752361297599</c:v>
                </c:pt>
                <c:pt idx="40">
                  <c:v>4.8370618820190403</c:v>
                </c:pt>
                <c:pt idx="41">
                  <c:v>5.4928920269012398</c:v>
                </c:pt>
                <c:pt idx="42">
                  <c:v>1.6979949474334699</c:v>
                </c:pt>
                <c:pt idx="43">
                  <c:v>0.14625167846679599</c:v>
                </c:pt>
                <c:pt idx="44">
                  <c:v>2.9527008533477699</c:v>
                </c:pt>
                <c:pt idx="45">
                  <c:v>0.35812878608703602</c:v>
                </c:pt>
                <c:pt idx="46">
                  <c:v>0.17029404640197701</c:v>
                </c:pt>
                <c:pt idx="47">
                  <c:v>2.1118919849395699</c:v>
                </c:pt>
                <c:pt idx="48">
                  <c:v>6.7049648761749197</c:v>
                </c:pt>
                <c:pt idx="49">
                  <c:v>2.0488262176513599E-2</c:v>
                </c:pt>
                <c:pt idx="50">
                  <c:v>2.0922899246215799E-2</c:v>
                </c:pt>
                <c:pt idx="51">
                  <c:v>0.53697204589843694</c:v>
                </c:pt>
                <c:pt idx="52">
                  <c:v>0.53362488746643</c:v>
                </c:pt>
                <c:pt idx="53">
                  <c:v>2.5105950832366899</c:v>
                </c:pt>
                <c:pt idx="54">
                  <c:v>1.2059078216552701</c:v>
                </c:pt>
                <c:pt idx="55">
                  <c:v>7.6753170490264804</c:v>
                </c:pt>
                <c:pt idx="56">
                  <c:v>0.67490720748901301</c:v>
                </c:pt>
                <c:pt idx="57">
                  <c:v>0.60406398773193304</c:v>
                </c:pt>
                <c:pt idx="58">
                  <c:v>5.3965461254119802</c:v>
                </c:pt>
                <c:pt idx="59">
                  <c:v>1.29667496681213</c:v>
                </c:pt>
                <c:pt idx="60">
                  <c:v>0.558735132217407</c:v>
                </c:pt>
                <c:pt idx="61">
                  <c:v>1.0100347995757999</c:v>
                </c:pt>
                <c:pt idx="62">
                  <c:v>0.98703694343566895</c:v>
                </c:pt>
                <c:pt idx="63">
                  <c:v>0.91822910308837802</c:v>
                </c:pt>
                <c:pt idx="64">
                  <c:v>2.6063919067382799E-2</c:v>
                </c:pt>
                <c:pt idx="65">
                  <c:v>4.38124680519104</c:v>
                </c:pt>
                <c:pt idx="66">
                  <c:v>4.9733459949493399</c:v>
                </c:pt>
                <c:pt idx="67">
                  <c:v>0.94976711273193304</c:v>
                </c:pt>
                <c:pt idx="68">
                  <c:v>0.44125699996948198</c:v>
                </c:pt>
                <c:pt idx="69">
                  <c:v>0.91264796257018999</c:v>
                </c:pt>
                <c:pt idx="70">
                  <c:v>3.3197999000549299</c:v>
                </c:pt>
                <c:pt idx="71">
                  <c:v>0.29250192642211897</c:v>
                </c:pt>
                <c:pt idx="72">
                  <c:v>0.436429023742675</c:v>
                </c:pt>
                <c:pt idx="73">
                  <c:v>7.5556452274322501</c:v>
                </c:pt>
                <c:pt idx="74">
                  <c:v>0.65663123130798295</c:v>
                </c:pt>
                <c:pt idx="75">
                  <c:v>0.96218490600585904</c:v>
                </c:pt>
                <c:pt idx="76">
                  <c:v>4.5444841384887598</c:v>
                </c:pt>
                <c:pt idx="77">
                  <c:v>1.2257730960845901</c:v>
                </c:pt>
                <c:pt idx="78">
                  <c:v>7.5054001808166504</c:v>
                </c:pt>
                <c:pt idx="79">
                  <c:v>4.6524560451507497</c:v>
                </c:pt>
                <c:pt idx="80">
                  <c:v>0.436551094055175</c:v>
                </c:pt>
                <c:pt idx="81">
                  <c:v>4.6998338699340803</c:v>
                </c:pt>
                <c:pt idx="82">
                  <c:v>4.6797189712524396</c:v>
                </c:pt>
                <c:pt idx="83">
                  <c:v>0.28757929801940901</c:v>
                </c:pt>
                <c:pt idx="84">
                  <c:v>2.2405366897582999</c:v>
                </c:pt>
                <c:pt idx="85">
                  <c:v>2.5535106658935498E-2</c:v>
                </c:pt>
                <c:pt idx="86">
                  <c:v>0.53823113441467196</c:v>
                </c:pt>
                <c:pt idx="87">
                  <c:v>1.8979799747467001</c:v>
                </c:pt>
                <c:pt idx="88">
                  <c:v>6.3211069107055602</c:v>
                </c:pt>
                <c:pt idx="89">
                  <c:v>0.42769098281860302</c:v>
                </c:pt>
                <c:pt idx="90">
                  <c:v>1.66038990020751</c:v>
                </c:pt>
                <c:pt idx="91">
                  <c:v>1.2132041454315099</c:v>
                </c:pt>
                <c:pt idx="92">
                  <c:v>1.22111296653747</c:v>
                </c:pt>
                <c:pt idx="93">
                  <c:v>1.1419751644134499</c:v>
                </c:pt>
                <c:pt idx="94">
                  <c:v>2.4585962295532199E-2</c:v>
                </c:pt>
                <c:pt idx="95">
                  <c:v>3.8631780147552401</c:v>
                </c:pt>
                <c:pt idx="96">
                  <c:v>7.5125460624694798</c:v>
                </c:pt>
                <c:pt idx="97">
                  <c:v>0.48680305480956998</c:v>
                </c:pt>
                <c:pt idx="98">
                  <c:v>1.16742396354675</c:v>
                </c:pt>
                <c:pt idx="99">
                  <c:v>0.761302709579467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97-5544-9890-1D3034FEF23C}"/>
            </c:ext>
          </c:extLst>
        </c:ser>
        <c:ser>
          <c:idx val="1"/>
          <c:order val="1"/>
          <c:tx>
            <c:v>ML Backtracking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Data!$H$2:$H$101</c:f>
              <c:numCache>
                <c:formatCode>General</c:formatCode>
                <c:ptCount val="100"/>
                <c:pt idx="0">
                  <c:v>40</c:v>
                </c:pt>
                <c:pt idx="1">
                  <c:v>3</c:v>
                </c:pt>
                <c:pt idx="2">
                  <c:v>87</c:v>
                </c:pt>
                <c:pt idx="3">
                  <c:v>50</c:v>
                </c:pt>
                <c:pt idx="4">
                  <c:v>95</c:v>
                </c:pt>
                <c:pt idx="5">
                  <c:v>42</c:v>
                </c:pt>
                <c:pt idx="6">
                  <c:v>55</c:v>
                </c:pt>
                <c:pt idx="7">
                  <c:v>79</c:v>
                </c:pt>
                <c:pt idx="8">
                  <c:v>11</c:v>
                </c:pt>
                <c:pt idx="9">
                  <c:v>70</c:v>
                </c:pt>
                <c:pt idx="10">
                  <c:v>69</c:v>
                </c:pt>
                <c:pt idx="11">
                  <c:v>12</c:v>
                </c:pt>
                <c:pt idx="12">
                  <c:v>64</c:v>
                </c:pt>
                <c:pt idx="13">
                  <c:v>59</c:v>
                </c:pt>
                <c:pt idx="14">
                  <c:v>44</c:v>
                </c:pt>
                <c:pt idx="15">
                  <c:v>57</c:v>
                </c:pt>
                <c:pt idx="16">
                  <c:v>35</c:v>
                </c:pt>
                <c:pt idx="17">
                  <c:v>23</c:v>
                </c:pt>
                <c:pt idx="18">
                  <c:v>73</c:v>
                </c:pt>
                <c:pt idx="19">
                  <c:v>63</c:v>
                </c:pt>
                <c:pt idx="20">
                  <c:v>16</c:v>
                </c:pt>
                <c:pt idx="21">
                  <c:v>6</c:v>
                </c:pt>
                <c:pt idx="22">
                  <c:v>91</c:v>
                </c:pt>
                <c:pt idx="23">
                  <c:v>47</c:v>
                </c:pt>
                <c:pt idx="24">
                  <c:v>60</c:v>
                </c:pt>
                <c:pt idx="25">
                  <c:v>5</c:v>
                </c:pt>
                <c:pt idx="26">
                  <c:v>80</c:v>
                </c:pt>
                <c:pt idx="27">
                  <c:v>36</c:v>
                </c:pt>
                <c:pt idx="28">
                  <c:v>31</c:v>
                </c:pt>
                <c:pt idx="29">
                  <c:v>22</c:v>
                </c:pt>
                <c:pt idx="30">
                  <c:v>43</c:v>
                </c:pt>
                <c:pt idx="31">
                  <c:v>62</c:v>
                </c:pt>
                <c:pt idx="32">
                  <c:v>75</c:v>
                </c:pt>
                <c:pt idx="33">
                  <c:v>67</c:v>
                </c:pt>
                <c:pt idx="34">
                  <c:v>66</c:v>
                </c:pt>
                <c:pt idx="35">
                  <c:v>71</c:v>
                </c:pt>
                <c:pt idx="36">
                  <c:v>18</c:v>
                </c:pt>
                <c:pt idx="37">
                  <c:v>96</c:v>
                </c:pt>
                <c:pt idx="38">
                  <c:v>68</c:v>
                </c:pt>
                <c:pt idx="39">
                  <c:v>27</c:v>
                </c:pt>
                <c:pt idx="40">
                  <c:v>33</c:v>
                </c:pt>
                <c:pt idx="41">
                  <c:v>24</c:v>
                </c:pt>
                <c:pt idx="42">
                  <c:v>4</c:v>
                </c:pt>
                <c:pt idx="43">
                  <c:v>25</c:v>
                </c:pt>
                <c:pt idx="44">
                  <c:v>86</c:v>
                </c:pt>
                <c:pt idx="45">
                  <c:v>53</c:v>
                </c:pt>
                <c:pt idx="46">
                  <c:v>19</c:v>
                </c:pt>
                <c:pt idx="47">
                  <c:v>85</c:v>
                </c:pt>
                <c:pt idx="48">
                  <c:v>20</c:v>
                </c:pt>
                <c:pt idx="49">
                  <c:v>28</c:v>
                </c:pt>
                <c:pt idx="50">
                  <c:v>34</c:v>
                </c:pt>
                <c:pt idx="51">
                  <c:v>29</c:v>
                </c:pt>
                <c:pt idx="52">
                  <c:v>0</c:v>
                </c:pt>
                <c:pt idx="53">
                  <c:v>81</c:v>
                </c:pt>
                <c:pt idx="54">
                  <c:v>74</c:v>
                </c:pt>
                <c:pt idx="55">
                  <c:v>88</c:v>
                </c:pt>
                <c:pt idx="56">
                  <c:v>83</c:v>
                </c:pt>
                <c:pt idx="57">
                  <c:v>37</c:v>
                </c:pt>
                <c:pt idx="58">
                  <c:v>93</c:v>
                </c:pt>
                <c:pt idx="59">
                  <c:v>58</c:v>
                </c:pt>
                <c:pt idx="60">
                  <c:v>13</c:v>
                </c:pt>
                <c:pt idx="61">
                  <c:v>54</c:v>
                </c:pt>
                <c:pt idx="62">
                  <c:v>77</c:v>
                </c:pt>
                <c:pt idx="63">
                  <c:v>90</c:v>
                </c:pt>
                <c:pt idx="64">
                  <c:v>61</c:v>
                </c:pt>
                <c:pt idx="65">
                  <c:v>72</c:v>
                </c:pt>
                <c:pt idx="66">
                  <c:v>46</c:v>
                </c:pt>
                <c:pt idx="67">
                  <c:v>45</c:v>
                </c:pt>
                <c:pt idx="68">
                  <c:v>92</c:v>
                </c:pt>
                <c:pt idx="69">
                  <c:v>30</c:v>
                </c:pt>
                <c:pt idx="70">
                  <c:v>1</c:v>
                </c:pt>
                <c:pt idx="71">
                  <c:v>39</c:v>
                </c:pt>
                <c:pt idx="72">
                  <c:v>98</c:v>
                </c:pt>
                <c:pt idx="73">
                  <c:v>51</c:v>
                </c:pt>
                <c:pt idx="74">
                  <c:v>94</c:v>
                </c:pt>
                <c:pt idx="75">
                  <c:v>52</c:v>
                </c:pt>
                <c:pt idx="76">
                  <c:v>21</c:v>
                </c:pt>
                <c:pt idx="77">
                  <c:v>99</c:v>
                </c:pt>
                <c:pt idx="78">
                  <c:v>8</c:v>
                </c:pt>
                <c:pt idx="79">
                  <c:v>14</c:v>
                </c:pt>
                <c:pt idx="80">
                  <c:v>78</c:v>
                </c:pt>
                <c:pt idx="81">
                  <c:v>89</c:v>
                </c:pt>
                <c:pt idx="82">
                  <c:v>2</c:v>
                </c:pt>
                <c:pt idx="83">
                  <c:v>9</c:v>
                </c:pt>
                <c:pt idx="84">
                  <c:v>41</c:v>
                </c:pt>
                <c:pt idx="85">
                  <c:v>48</c:v>
                </c:pt>
                <c:pt idx="86">
                  <c:v>15</c:v>
                </c:pt>
                <c:pt idx="87">
                  <c:v>38</c:v>
                </c:pt>
                <c:pt idx="88">
                  <c:v>7</c:v>
                </c:pt>
                <c:pt idx="89">
                  <c:v>32</c:v>
                </c:pt>
                <c:pt idx="90">
                  <c:v>76</c:v>
                </c:pt>
                <c:pt idx="91">
                  <c:v>56</c:v>
                </c:pt>
                <c:pt idx="92">
                  <c:v>82</c:v>
                </c:pt>
                <c:pt idx="93">
                  <c:v>17</c:v>
                </c:pt>
                <c:pt idx="94">
                  <c:v>49</c:v>
                </c:pt>
                <c:pt idx="95">
                  <c:v>84</c:v>
                </c:pt>
                <c:pt idx="96">
                  <c:v>97</c:v>
                </c:pt>
                <c:pt idx="97">
                  <c:v>26</c:v>
                </c:pt>
                <c:pt idx="98">
                  <c:v>65</c:v>
                </c:pt>
                <c:pt idx="99">
                  <c:v>10</c:v>
                </c:pt>
              </c:numCache>
            </c:numRef>
          </c:xVal>
          <c:yVal>
            <c:numRef>
              <c:f>Data!$J$2:$J$101</c:f>
              <c:numCache>
                <c:formatCode>0.00E+00</c:formatCode>
                <c:ptCount val="100"/>
                <c:pt idx="0">
                  <c:v>156.766451358795</c:v>
                </c:pt>
                <c:pt idx="1">
                  <c:v>24.061395168304401</c:v>
                </c:pt>
                <c:pt idx="2">
                  <c:v>22.6459941864013</c:v>
                </c:pt>
                <c:pt idx="3">
                  <c:v>18.608196973800599</c:v>
                </c:pt>
                <c:pt idx="4">
                  <c:v>17.978359222412099</c:v>
                </c:pt>
                <c:pt idx="5">
                  <c:v>16.6772651672363</c:v>
                </c:pt>
                <c:pt idx="6">
                  <c:v>15.2315399646759</c:v>
                </c:pt>
                <c:pt idx="7">
                  <c:v>10.437632083892799</c:v>
                </c:pt>
                <c:pt idx="8">
                  <c:v>9.8067467212677002</c:v>
                </c:pt>
                <c:pt idx="9">
                  <c:v>6.6643178462982098</c:v>
                </c:pt>
                <c:pt idx="10">
                  <c:v>4.6320350170135498</c:v>
                </c:pt>
                <c:pt idx="11">
                  <c:v>4.5906658172607404</c:v>
                </c:pt>
                <c:pt idx="12">
                  <c:v>4.3747179508209202</c:v>
                </c:pt>
                <c:pt idx="13">
                  <c:v>4.3464701175689697</c:v>
                </c:pt>
                <c:pt idx="14">
                  <c:v>4.1447620391845703</c:v>
                </c:pt>
                <c:pt idx="15">
                  <c:v>3.7447690963745099</c:v>
                </c:pt>
                <c:pt idx="16">
                  <c:v>3.5714898109436</c:v>
                </c:pt>
                <c:pt idx="17">
                  <c:v>3.3832981586456299</c:v>
                </c:pt>
                <c:pt idx="18">
                  <c:v>2.98767685890197</c:v>
                </c:pt>
                <c:pt idx="19">
                  <c:v>2.5780222415924001</c:v>
                </c:pt>
                <c:pt idx="20">
                  <c:v>2.4672570228576598</c:v>
                </c:pt>
                <c:pt idx="21">
                  <c:v>1.9506471157073899</c:v>
                </c:pt>
                <c:pt idx="22">
                  <c:v>1.77042508125305</c:v>
                </c:pt>
                <c:pt idx="23">
                  <c:v>1.713063955307</c:v>
                </c:pt>
                <c:pt idx="24">
                  <c:v>1.4960122108459399</c:v>
                </c:pt>
                <c:pt idx="25">
                  <c:v>1.4075968265533401</c:v>
                </c:pt>
                <c:pt idx="26">
                  <c:v>1.3315172195434499</c:v>
                </c:pt>
                <c:pt idx="27">
                  <c:v>1.3153672218322701</c:v>
                </c:pt>
                <c:pt idx="28">
                  <c:v>1.2717916965484599</c:v>
                </c:pt>
                <c:pt idx="29">
                  <c:v>1.2615618705749501</c:v>
                </c:pt>
                <c:pt idx="30">
                  <c:v>1.1927061080932599</c:v>
                </c:pt>
                <c:pt idx="31">
                  <c:v>1.1650428771972601</c:v>
                </c:pt>
                <c:pt idx="32">
                  <c:v>1.15727710723876</c:v>
                </c:pt>
                <c:pt idx="33">
                  <c:v>1.1453881263732899</c:v>
                </c:pt>
                <c:pt idx="34">
                  <c:v>1.07272028923034</c:v>
                </c:pt>
                <c:pt idx="35">
                  <c:v>1.0297348499298</c:v>
                </c:pt>
                <c:pt idx="36">
                  <c:v>1.01363897323608</c:v>
                </c:pt>
                <c:pt idx="37">
                  <c:v>0.85271716117858798</c:v>
                </c:pt>
                <c:pt idx="38">
                  <c:v>0.847254037857055</c:v>
                </c:pt>
                <c:pt idx="39">
                  <c:v>0.81728076934814398</c:v>
                </c:pt>
                <c:pt idx="40">
                  <c:v>0.75809907913207997</c:v>
                </c:pt>
                <c:pt idx="41">
                  <c:v>0.75374412536621005</c:v>
                </c:pt>
                <c:pt idx="42">
                  <c:v>0.75189709663391102</c:v>
                </c:pt>
                <c:pt idx="43">
                  <c:v>0.68274593353271396</c:v>
                </c:pt>
                <c:pt idx="44">
                  <c:v>0.67673683166503895</c:v>
                </c:pt>
                <c:pt idx="45">
                  <c:v>0.64429903030395497</c:v>
                </c:pt>
                <c:pt idx="46">
                  <c:v>0.64244699478149403</c:v>
                </c:pt>
                <c:pt idx="47">
                  <c:v>0.63895702362060502</c:v>
                </c:pt>
                <c:pt idx="48">
                  <c:v>0.61384296417236295</c:v>
                </c:pt>
                <c:pt idx="49">
                  <c:v>0.59515213966369596</c:v>
                </c:pt>
                <c:pt idx="50">
                  <c:v>0.59033203125</c:v>
                </c:pt>
                <c:pt idx="51">
                  <c:v>0.56813883781433105</c:v>
                </c:pt>
                <c:pt idx="52">
                  <c:v>0.54218387603759699</c:v>
                </c:pt>
                <c:pt idx="53">
                  <c:v>0.53269386291503895</c:v>
                </c:pt>
                <c:pt idx="54">
                  <c:v>0.52107596397399902</c:v>
                </c:pt>
                <c:pt idx="55">
                  <c:v>0.50042891502380304</c:v>
                </c:pt>
                <c:pt idx="56">
                  <c:v>0.48107409477233798</c:v>
                </c:pt>
                <c:pt idx="57">
                  <c:v>0.46792387962341297</c:v>
                </c:pt>
                <c:pt idx="58">
                  <c:v>0.46551489830017001</c:v>
                </c:pt>
                <c:pt idx="59">
                  <c:v>0.41157793998718201</c:v>
                </c:pt>
                <c:pt idx="60">
                  <c:v>0.38635897636413502</c:v>
                </c:pt>
                <c:pt idx="61">
                  <c:v>0.370790004730224</c:v>
                </c:pt>
                <c:pt idx="62">
                  <c:v>0.37077808380126898</c:v>
                </c:pt>
                <c:pt idx="63">
                  <c:v>0.32450509071350098</c:v>
                </c:pt>
                <c:pt idx="64">
                  <c:v>0.32432508468627902</c:v>
                </c:pt>
                <c:pt idx="65">
                  <c:v>0.31657099723815901</c:v>
                </c:pt>
                <c:pt idx="66">
                  <c:v>0.28744697570800698</c:v>
                </c:pt>
                <c:pt idx="67">
                  <c:v>0.27606225013732899</c:v>
                </c:pt>
                <c:pt idx="68">
                  <c:v>0.27414679527282698</c:v>
                </c:pt>
                <c:pt idx="69">
                  <c:v>0.27199888229370101</c:v>
                </c:pt>
                <c:pt idx="70">
                  <c:v>0.27016496658325101</c:v>
                </c:pt>
                <c:pt idx="71">
                  <c:v>0.26424407958984297</c:v>
                </c:pt>
                <c:pt idx="72">
                  <c:v>0.26392602920532199</c:v>
                </c:pt>
                <c:pt idx="73">
                  <c:v>0.25998520851135198</c:v>
                </c:pt>
                <c:pt idx="74">
                  <c:v>0.248800039291381</c:v>
                </c:pt>
                <c:pt idx="75">
                  <c:v>0.24409294128417899</c:v>
                </c:pt>
                <c:pt idx="76">
                  <c:v>0.232562780380249</c:v>
                </c:pt>
                <c:pt idx="77">
                  <c:v>0.21214795112609799</c:v>
                </c:pt>
                <c:pt idx="78">
                  <c:v>0.20812535285949699</c:v>
                </c:pt>
                <c:pt idx="79">
                  <c:v>0.20516514778137199</c:v>
                </c:pt>
                <c:pt idx="80">
                  <c:v>0.205032348632812</c:v>
                </c:pt>
                <c:pt idx="81">
                  <c:v>0.201637983322143</c:v>
                </c:pt>
                <c:pt idx="82">
                  <c:v>0.19773888587951599</c:v>
                </c:pt>
                <c:pt idx="83">
                  <c:v>0.19677710533142001</c:v>
                </c:pt>
                <c:pt idx="84">
                  <c:v>0.19165897369384699</c:v>
                </c:pt>
                <c:pt idx="85">
                  <c:v>0.19063806533813399</c:v>
                </c:pt>
                <c:pt idx="86">
                  <c:v>0.19015622138977001</c:v>
                </c:pt>
                <c:pt idx="87">
                  <c:v>0.18152999877929599</c:v>
                </c:pt>
                <c:pt idx="88">
                  <c:v>0.14891290664672799</c:v>
                </c:pt>
                <c:pt idx="89">
                  <c:v>0.14728379249572701</c:v>
                </c:pt>
                <c:pt idx="90">
                  <c:v>0.14434695243835399</c:v>
                </c:pt>
                <c:pt idx="91">
                  <c:v>0.13870000839233301</c:v>
                </c:pt>
                <c:pt idx="92">
                  <c:v>0.13675594329833901</c:v>
                </c:pt>
                <c:pt idx="93">
                  <c:v>0.134841918945312</c:v>
                </c:pt>
                <c:pt idx="94">
                  <c:v>0.13443899154663</c:v>
                </c:pt>
                <c:pt idx="95">
                  <c:v>0.10762906074523899</c:v>
                </c:pt>
                <c:pt idx="96">
                  <c:v>9.8501920700073201E-2</c:v>
                </c:pt>
                <c:pt idx="97">
                  <c:v>9.3198776245117104E-2</c:v>
                </c:pt>
                <c:pt idx="98">
                  <c:v>7.9488992691039997E-2</c:v>
                </c:pt>
                <c:pt idx="99">
                  <c:v>5.4395914077758699E-2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97-5544-9890-1D3034FEF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6229488"/>
        <c:axId val="1596666304"/>
      </c:scatterChart>
      <c:valAx>
        <c:axId val="17875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719152"/>
        <c:crosses val="autoZero"/>
        <c:crossBetween val="midCat"/>
      </c:valAx>
      <c:valAx>
        <c:axId val="178771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537856"/>
        <c:crosses val="autoZero"/>
        <c:crossBetween val="midCat"/>
      </c:valAx>
      <c:valAx>
        <c:axId val="1596666304"/>
        <c:scaling>
          <c:orientation val="minMax"/>
        </c:scaling>
        <c:delete val="0"/>
        <c:axPos val="r"/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6229488"/>
        <c:crosses val="max"/>
        <c:crossBetween val="midCat"/>
      </c:valAx>
      <c:valAx>
        <c:axId val="15962294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966663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BackTracking Solvers (Difficulty 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2"/>
          <c:tx>
            <c:v>Backtracking Modified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Data!$N$1:$N$101</c:f>
              <c:strCache>
                <c:ptCount val="101"/>
                <c:pt idx="0">
                  <c:v>Board Index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</c:strCache>
            </c:strRef>
          </c:xVal>
          <c:yVal>
            <c:numRef>
              <c:f>Data!$Q$1:$Q$101</c:f>
              <c:numCache>
                <c:formatCode>0.00E+00</c:formatCode>
                <c:ptCount val="101"/>
                <c:pt idx="0" formatCode="@">
                  <c:v>0</c:v>
                </c:pt>
                <c:pt idx="1">
                  <c:v>0.23844099044799799</c:v>
                </c:pt>
                <c:pt idx="2">
                  <c:v>0.48109388351440402</c:v>
                </c:pt>
                <c:pt idx="3">
                  <c:v>0.67379093170166005</c:v>
                </c:pt>
                <c:pt idx="4">
                  <c:v>1.45401406288146</c:v>
                </c:pt>
                <c:pt idx="5">
                  <c:v>0.15140914916992099</c:v>
                </c:pt>
                <c:pt idx="6">
                  <c:v>1.4515368938446001</c:v>
                </c:pt>
                <c:pt idx="7">
                  <c:v>0.28164887428283603</c:v>
                </c:pt>
                <c:pt idx="8">
                  <c:v>0.112984180450439</c:v>
                </c:pt>
                <c:pt idx="9">
                  <c:v>1.95824193954467</c:v>
                </c:pt>
                <c:pt idx="10">
                  <c:v>0.92708086967468195</c:v>
                </c:pt>
                <c:pt idx="11">
                  <c:v>0.19868803024291901</c:v>
                </c:pt>
                <c:pt idx="12">
                  <c:v>0.33823490142822199</c:v>
                </c:pt>
                <c:pt idx="13">
                  <c:v>9.1546773910522405E-2</c:v>
                </c:pt>
                <c:pt idx="14">
                  <c:v>0.42195296287536599</c:v>
                </c:pt>
                <c:pt idx="15">
                  <c:v>0.42259883880615201</c:v>
                </c:pt>
                <c:pt idx="16">
                  <c:v>0.366708993911743</c:v>
                </c:pt>
                <c:pt idx="17">
                  <c:v>0.58157992362975997</c:v>
                </c:pt>
                <c:pt idx="18">
                  <c:v>1.3488509654998699</c:v>
                </c:pt>
                <c:pt idx="19">
                  <c:v>2.2807250022888099</c:v>
                </c:pt>
                <c:pt idx="20">
                  <c:v>0.66570186614990201</c:v>
                </c:pt>
                <c:pt idx="21">
                  <c:v>0.66992902755737305</c:v>
                </c:pt>
                <c:pt idx="22">
                  <c:v>1.75356221199035</c:v>
                </c:pt>
                <c:pt idx="23">
                  <c:v>1.3181011676788299</c:v>
                </c:pt>
                <c:pt idx="24">
                  <c:v>1.0368309020996</c:v>
                </c:pt>
                <c:pt idx="25">
                  <c:v>0.15539884567260701</c:v>
                </c:pt>
                <c:pt idx="26">
                  <c:v>0.206671953201293</c:v>
                </c:pt>
                <c:pt idx="27">
                  <c:v>0.89146232604980402</c:v>
                </c:pt>
                <c:pt idx="28">
                  <c:v>0.223978996276855</c:v>
                </c:pt>
                <c:pt idx="29">
                  <c:v>3.61406326293945</c:v>
                </c:pt>
                <c:pt idx="30">
                  <c:v>0.22341680526733301</c:v>
                </c:pt>
                <c:pt idx="31">
                  <c:v>2.8037183284759499</c:v>
                </c:pt>
                <c:pt idx="32">
                  <c:v>1.18373179435729</c:v>
                </c:pt>
                <c:pt idx="33">
                  <c:v>2.1389501094818102</c:v>
                </c:pt>
                <c:pt idx="34">
                  <c:v>0.51660394668579102</c:v>
                </c:pt>
                <c:pt idx="35">
                  <c:v>0.113606929779052</c:v>
                </c:pt>
                <c:pt idx="36">
                  <c:v>0.93071889877319303</c:v>
                </c:pt>
                <c:pt idx="37">
                  <c:v>2.92111015319824</c:v>
                </c:pt>
                <c:pt idx="38">
                  <c:v>0.43292307853698703</c:v>
                </c:pt>
                <c:pt idx="39">
                  <c:v>1.4960801601409901</c:v>
                </c:pt>
                <c:pt idx="40">
                  <c:v>2.2639250755310001</c:v>
                </c:pt>
                <c:pt idx="41">
                  <c:v>0.60647821426391602</c:v>
                </c:pt>
                <c:pt idx="42">
                  <c:v>0.60219883918762196</c:v>
                </c:pt>
                <c:pt idx="43">
                  <c:v>0.879719018936157</c:v>
                </c:pt>
                <c:pt idx="44">
                  <c:v>1.56787204742431</c:v>
                </c:pt>
                <c:pt idx="45">
                  <c:v>0.15891981124877899</c:v>
                </c:pt>
                <c:pt idx="46">
                  <c:v>0.344089984893798</c:v>
                </c:pt>
                <c:pt idx="47">
                  <c:v>0.63286995887756303</c:v>
                </c:pt>
                <c:pt idx="48">
                  <c:v>1.97281789779663</c:v>
                </c:pt>
                <c:pt idx="49">
                  <c:v>0.327778100967407</c:v>
                </c:pt>
                <c:pt idx="50">
                  <c:v>0.27986788749694802</c:v>
                </c:pt>
                <c:pt idx="51">
                  <c:v>0.22356295585632299</c:v>
                </c:pt>
                <c:pt idx="52">
                  <c:v>0.35363316535949701</c:v>
                </c:pt>
                <c:pt idx="53">
                  <c:v>2.7041358947753902</c:v>
                </c:pt>
                <c:pt idx="54">
                  <c:v>0.10439491271972599</c:v>
                </c:pt>
                <c:pt idx="55">
                  <c:v>0.32408928871154702</c:v>
                </c:pt>
                <c:pt idx="56">
                  <c:v>0.289991855621337</c:v>
                </c:pt>
                <c:pt idx="57">
                  <c:v>2.5571489334106401</c:v>
                </c:pt>
                <c:pt idx="58">
                  <c:v>0.57398390769958496</c:v>
                </c:pt>
                <c:pt idx="59">
                  <c:v>0.2497239112854</c:v>
                </c:pt>
                <c:pt idx="60">
                  <c:v>0.26964616775512601</c:v>
                </c:pt>
                <c:pt idx="61">
                  <c:v>0.121736049652099</c:v>
                </c:pt>
                <c:pt idx="62">
                  <c:v>0.164251089096069</c:v>
                </c:pt>
                <c:pt idx="63">
                  <c:v>0.201411962509155</c:v>
                </c:pt>
                <c:pt idx="64">
                  <c:v>0.58518099784850997</c:v>
                </c:pt>
                <c:pt idx="65">
                  <c:v>0.35181617736816401</c:v>
                </c:pt>
                <c:pt idx="66">
                  <c:v>3.8061847686767498</c:v>
                </c:pt>
                <c:pt idx="67">
                  <c:v>0.19680285453796301</c:v>
                </c:pt>
                <c:pt idx="68">
                  <c:v>0.49371099472045898</c:v>
                </c:pt>
                <c:pt idx="69">
                  <c:v>2.0859000682830802</c:v>
                </c:pt>
                <c:pt idx="70">
                  <c:v>1.6218979358673</c:v>
                </c:pt>
                <c:pt idx="71">
                  <c:v>0.11849713325500399</c:v>
                </c:pt>
                <c:pt idx="72">
                  <c:v>0.141299962997436</c:v>
                </c:pt>
                <c:pt idx="73">
                  <c:v>0.56423091888427701</c:v>
                </c:pt>
                <c:pt idx="74">
                  <c:v>0.70107698440551702</c:v>
                </c:pt>
                <c:pt idx="75">
                  <c:v>0.59150695800781194</c:v>
                </c:pt>
                <c:pt idx="76">
                  <c:v>0.71445512771606401</c:v>
                </c:pt>
                <c:pt idx="77">
                  <c:v>0.66598916053771895</c:v>
                </c:pt>
                <c:pt idx="78">
                  <c:v>0.83441519737243597</c:v>
                </c:pt>
                <c:pt idx="79">
                  <c:v>1.4283471107482899</c:v>
                </c:pt>
                <c:pt idx="80">
                  <c:v>0.292379140853881</c:v>
                </c:pt>
                <c:pt idx="81">
                  <c:v>0.24821305274963301</c:v>
                </c:pt>
                <c:pt idx="82">
                  <c:v>1.1050879955291699</c:v>
                </c:pt>
                <c:pt idx="83">
                  <c:v>0.16407513618469199</c:v>
                </c:pt>
                <c:pt idx="84">
                  <c:v>2.55519199371337</c:v>
                </c:pt>
                <c:pt idx="85">
                  <c:v>7.9239845275878906E-2</c:v>
                </c:pt>
                <c:pt idx="86">
                  <c:v>0.113043069839477</c:v>
                </c:pt>
                <c:pt idx="87">
                  <c:v>0.98290562629699696</c:v>
                </c:pt>
                <c:pt idx="88">
                  <c:v>1.51979708671569</c:v>
                </c:pt>
                <c:pt idx="89">
                  <c:v>0.44555187225341703</c:v>
                </c:pt>
                <c:pt idx="90">
                  <c:v>1.0807969570159901</c:v>
                </c:pt>
                <c:pt idx="91">
                  <c:v>0.374375820159912</c:v>
                </c:pt>
                <c:pt idx="92">
                  <c:v>2.5742301940917902</c:v>
                </c:pt>
                <c:pt idx="93">
                  <c:v>0.24461483955383301</c:v>
                </c:pt>
                <c:pt idx="94">
                  <c:v>0.28706288337707497</c:v>
                </c:pt>
                <c:pt idx="95">
                  <c:v>0.26704597473144498</c:v>
                </c:pt>
                <c:pt idx="96">
                  <c:v>0.25118374824523898</c:v>
                </c:pt>
                <c:pt idx="97">
                  <c:v>0.37100315093994102</c:v>
                </c:pt>
                <c:pt idx="98">
                  <c:v>0.137483119964599</c:v>
                </c:pt>
                <c:pt idx="99">
                  <c:v>0.43825888633728</c:v>
                </c:pt>
                <c:pt idx="100">
                  <c:v>9.0441942214965806E-2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0CFA-7047-98A4-BA38428AB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537856"/>
        <c:axId val="1787719152"/>
      </c:scatterChart>
      <c:scatterChart>
        <c:scatterStyle val="lineMarker"/>
        <c:varyColors val="0"/>
        <c:ser>
          <c:idx val="1"/>
          <c:order val="0"/>
          <c:tx>
            <c:v>Backtracking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Data!$N$1:$N$101</c:f>
              <c:strCache>
                <c:ptCount val="101"/>
                <c:pt idx="0">
                  <c:v>Board Index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</c:strCache>
            </c:strRef>
          </c:xVal>
          <c:yVal>
            <c:numRef>
              <c:f>Data!$O$1:$O$101</c:f>
              <c:numCache>
                <c:formatCode>0.00E+00</c:formatCode>
                <c:ptCount val="101"/>
                <c:pt idx="0" formatCode="@">
                  <c:v>0</c:v>
                </c:pt>
                <c:pt idx="1">
                  <c:v>0.48163986206054599</c:v>
                </c:pt>
                <c:pt idx="2">
                  <c:v>4.9584817886352504</c:v>
                </c:pt>
                <c:pt idx="3">
                  <c:v>6.97332715988159</c:v>
                </c:pt>
                <c:pt idx="4">
                  <c:v>5.8771803379058802</c:v>
                </c:pt>
                <c:pt idx="5">
                  <c:v>0.17791175842285101</c:v>
                </c:pt>
                <c:pt idx="6">
                  <c:v>5.8313288688659597</c:v>
                </c:pt>
                <c:pt idx="7">
                  <c:v>2.6336429119110099</c:v>
                </c:pt>
                <c:pt idx="8">
                  <c:v>0.57809090614318803</c:v>
                </c:pt>
                <c:pt idx="9">
                  <c:v>7.7068631649017298</c:v>
                </c:pt>
                <c:pt idx="10">
                  <c:v>5.55934286117553</c:v>
                </c:pt>
                <c:pt idx="11">
                  <c:v>0.37248396873474099</c:v>
                </c:pt>
                <c:pt idx="12">
                  <c:v>0.51843309402465798</c:v>
                </c:pt>
                <c:pt idx="13">
                  <c:v>0.52679395675659102</c:v>
                </c:pt>
                <c:pt idx="14">
                  <c:v>1.43424987792968</c:v>
                </c:pt>
                <c:pt idx="15">
                  <c:v>3.4142889976501398</c:v>
                </c:pt>
                <c:pt idx="16">
                  <c:v>1.0818569660186701</c:v>
                </c:pt>
                <c:pt idx="17">
                  <c:v>2.3211760520935001</c:v>
                </c:pt>
                <c:pt idx="18">
                  <c:v>2.9919850826263401</c:v>
                </c:pt>
                <c:pt idx="19">
                  <c:v>4.2117111682891801</c:v>
                </c:pt>
                <c:pt idx="20">
                  <c:v>6.5618557929992596</c:v>
                </c:pt>
                <c:pt idx="21">
                  <c:v>1.65248274803161</c:v>
                </c:pt>
                <c:pt idx="22">
                  <c:v>8.7558536529540998</c:v>
                </c:pt>
                <c:pt idx="23">
                  <c:v>7.6637880802154497</c:v>
                </c:pt>
                <c:pt idx="24">
                  <c:v>4.7918038368225098</c:v>
                </c:pt>
                <c:pt idx="25">
                  <c:v>0.20902204513549799</c:v>
                </c:pt>
                <c:pt idx="26">
                  <c:v>1.52123498916625</c:v>
                </c:pt>
                <c:pt idx="27">
                  <c:v>7.1900219917297301</c:v>
                </c:pt>
                <c:pt idx="28">
                  <c:v>0.84957289695739702</c:v>
                </c:pt>
                <c:pt idx="29">
                  <c:v>7.32171177864074</c:v>
                </c:pt>
                <c:pt idx="30">
                  <c:v>0.42121815681457497</c:v>
                </c:pt>
                <c:pt idx="31">
                  <c:v>7.7434041500091499</c:v>
                </c:pt>
                <c:pt idx="32">
                  <c:v>5.9513559341430602</c:v>
                </c:pt>
                <c:pt idx="33">
                  <c:v>3.3619809150695801</c:v>
                </c:pt>
                <c:pt idx="34">
                  <c:v>4.44781494140625</c:v>
                </c:pt>
                <c:pt idx="35">
                  <c:v>0.17048907279968201</c:v>
                </c:pt>
                <c:pt idx="36">
                  <c:v>4.4224700927734304</c:v>
                </c:pt>
                <c:pt idx="37">
                  <c:v>6.4122498035430899</c:v>
                </c:pt>
                <c:pt idx="38">
                  <c:v>3.3301980495452801</c:v>
                </c:pt>
                <c:pt idx="39">
                  <c:v>6.06854224205017</c:v>
                </c:pt>
                <c:pt idx="40">
                  <c:v>8.4089860916137695</c:v>
                </c:pt>
                <c:pt idx="41">
                  <c:v>1.4803099632263099</c:v>
                </c:pt>
                <c:pt idx="42">
                  <c:v>8.5202600955963099</c:v>
                </c:pt>
                <c:pt idx="43">
                  <c:v>5.5602600574493399</c:v>
                </c:pt>
                <c:pt idx="44">
                  <c:v>4.0848209857940603</c:v>
                </c:pt>
                <c:pt idx="45">
                  <c:v>0.60687518119812001</c:v>
                </c:pt>
                <c:pt idx="46">
                  <c:v>4.8914122581481898</c:v>
                </c:pt>
                <c:pt idx="47">
                  <c:v>2.4447758197784402</c:v>
                </c:pt>
                <c:pt idx="48">
                  <c:v>7.4949610233306796</c:v>
                </c:pt>
                <c:pt idx="49">
                  <c:v>3.63789582252502</c:v>
                </c:pt>
                <c:pt idx="50">
                  <c:v>2.43980383872985</c:v>
                </c:pt>
                <c:pt idx="51">
                  <c:v>0.26657199859619102</c:v>
                </c:pt>
                <c:pt idx="52">
                  <c:v>0.94718694686889604</c:v>
                </c:pt>
                <c:pt idx="53">
                  <c:v>5.1505970954895002</c:v>
                </c:pt>
                <c:pt idx="54">
                  <c:v>3.8413047790527302E-2</c:v>
                </c:pt>
                <c:pt idx="55">
                  <c:v>7.2885050773620597</c:v>
                </c:pt>
                <c:pt idx="56">
                  <c:v>1.16494417190551</c:v>
                </c:pt>
                <c:pt idx="57">
                  <c:v>6.4676880836486799</c:v>
                </c:pt>
                <c:pt idx="58">
                  <c:v>7.5609948635101301</c:v>
                </c:pt>
                <c:pt idx="59">
                  <c:v>5.7666878700256303</c:v>
                </c:pt>
                <c:pt idx="60">
                  <c:v>2.47808814048767</c:v>
                </c:pt>
                <c:pt idx="61">
                  <c:v>3.6860942840576102E-2</c:v>
                </c:pt>
                <c:pt idx="62">
                  <c:v>1.8192489147186199</c:v>
                </c:pt>
                <c:pt idx="63">
                  <c:v>1.41654777526855</c:v>
                </c:pt>
                <c:pt idx="64">
                  <c:v>1.2767090797424301</c:v>
                </c:pt>
                <c:pt idx="65">
                  <c:v>0.95431303977966297</c:v>
                </c:pt>
                <c:pt idx="66">
                  <c:v>3.8331561088561998</c:v>
                </c:pt>
                <c:pt idx="67">
                  <c:v>6.7201728820800701</c:v>
                </c:pt>
                <c:pt idx="68">
                  <c:v>5.7255542278289697</c:v>
                </c:pt>
                <c:pt idx="69">
                  <c:v>3.9767098426818799</c:v>
                </c:pt>
                <c:pt idx="70">
                  <c:v>6.7227282524108798</c:v>
                </c:pt>
                <c:pt idx="71">
                  <c:v>3.6857128143310498E-2</c:v>
                </c:pt>
                <c:pt idx="72">
                  <c:v>7.7303869724273602</c:v>
                </c:pt>
                <c:pt idx="73">
                  <c:v>2.3272578716278001</c:v>
                </c:pt>
                <c:pt idx="74">
                  <c:v>8.5320730209350497</c:v>
                </c:pt>
                <c:pt idx="75">
                  <c:v>1.2901132106780999</c:v>
                </c:pt>
                <c:pt idx="76">
                  <c:v>1.0734050273895199</c:v>
                </c:pt>
                <c:pt idx="77">
                  <c:v>4.8310670852661097</c:v>
                </c:pt>
                <c:pt idx="78">
                  <c:v>2.7308042049407901</c:v>
                </c:pt>
                <c:pt idx="79">
                  <c:v>5.3735277652740399</c:v>
                </c:pt>
                <c:pt idx="80">
                  <c:v>2.74641513824462</c:v>
                </c:pt>
                <c:pt idx="81">
                  <c:v>2.3672668933868399</c:v>
                </c:pt>
                <c:pt idx="82">
                  <c:v>4.1210849285125697</c:v>
                </c:pt>
                <c:pt idx="83">
                  <c:v>4.5235509872436497</c:v>
                </c:pt>
                <c:pt idx="84">
                  <c:v>9.2141368389129603</c:v>
                </c:pt>
                <c:pt idx="85">
                  <c:v>8.7044954299926702E-2</c:v>
                </c:pt>
                <c:pt idx="86">
                  <c:v>0.16818571090698201</c:v>
                </c:pt>
                <c:pt idx="87">
                  <c:v>2.59112501144409</c:v>
                </c:pt>
                <c:pt idx="88">
                  <c:v>6.4266030788421604</c:v>
                </c:pt>
                <c:pt idx="89">
                  <c:v>1.29369497299194</c:v>
                </c:pt>
                <c:pt idx="90">
                  <c:v>5.64412021636962</c:v>
                </c:pt>
                <c:pt idx="91">
                  <c:v>1.8390691280364899</c:v>
                </c:pt>
                <c:pt idx="92">
                  <c:v>9.1387331485748202</c:v>
                </c:pt>
                <c:pt idx="93">
                  <c:v>2.48057508468627</c:v>
                </c:pt>
                <c:pt idx="94">
                  <c:v>2.7681078910827601</c:v>
                </c:pt>
                <c:pt idx="95">
                  <c:v>1.06782102584838</c:v>
                </c:pt>
                <c:pt idx="96">
                  <c:v>0.72578406333923295</c:v>
                </c:pt>
                <c:pt idx="97">
                  <c:v>1.9555790424346899</c:v>
                </c:pt>
                <c:pt idx="98">
                  <c:v>0.28034305572509699</c:v>
                </c:pt>
                <c:pt idx="99">
                  <c:v>8.2328000068664497</c:v>
                </c:pt>
                <c:pt idx="100">
                  <c:v>7.9330921173095703E-2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FA-7047-98A4-BA38428AB759}"/>
            </c:ext>
          </c:extLst>
        </c:ser>
        <c:ser>
          <c:idx val="2"/>
          <c:order val="1"/>
          <c:tx>
            <c:v>ML Backtrack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Data!$N$1:$N$101</c:f>
              <c:strCache>
                <c:ptCount val="101"/>
                <c:pt idx="0">
                  <c:v>Board Index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</c:strCache>
            </c:strRef>
          </c:xVal>
          <c:yVal>
            <c:numRef>
              <c:f>Data!$P$1:$P$101</c:f>
              <c:numCache>
                <c:formatCode>0.00E+00</c:formatCode>
                <c:ptCount val="101"/>
                <c:pt idx="0" formatCode="@">
                  <c:v>0</c:v>
                </c:pt>
                <c:pt idx="1">
                  <c:v>6.8776969909667898</c:v>
                </c:pt>
                <c:pt idx="2">
                  <c:v>13.216145277023299</c:v>
                </c:pt>
                <c:pt idx="3">
                  <c:v>38.0997538566589</c:v>
                </c:pt>
                <c:pt idx="4">
                  <c:v>60.836187124252298</c:v>
                </c:pt>
                <c:pt idx="5">
                  <c:v>0.98246502876281705</c:v>
                </c:pt>
                <c:pt idx="6">
                  <c:v>58.5769040584564</c:v>
                </c:pt>
                <c:pt idx="7">
                  <c:v>13.4923367500305</c:v>
                </c:pt>
                <c:pt idx="8">
                  <c:v>12.288042068481399</c:v>
                </c:pt>
                <c:pt idx="9">
                  <c:v>164.786612987518</c:v>
                </c:pt>
                <c:pt idx="10">
                  <c:v>153.558559894561</c:v>
                </c:pt>
                <c:pt idx="11">
                  <c:v>90.190104007720905</c:v>
                </c:pt>
                <c:pt idx="12">
                  <c:v>61.664849996566701</c:v>
                </c:pt>
                <c:pt idx="13">
                  <c:v>2.9620299339294398</c:v>
                </c:pt>
                <c:pt idx="14">
                  <c:v>3.2861659526824898</c:v>
                </c:pt>
                <c:pt idx="15">
                  <c:v>8.1593270301818794</c:v>
                </c:pt>
                <c:pt idx="16">
                  <c:v>16.499338865280102</c:v>
                </c:pt>
                <c:pt idx="17">
                  <c:v>10.307056188583299</c:v>
                </c:pt>
                <c:pt idx="18">
                  <c:v>15.0448682308197</c:v>
                </c:pt>
                <c:pt idx="19">
                  <c:v>5.7292590141296298</c:v>
                </c:pt>
                <c:pt idx="20">
                  <c:v>37.111041069030698</c:v>
                </c:pt>
                <c:pt idx="21">
                  <c:v>23.3695418834686</c:v>
                </c:pt>
                <c:pt idx="22">
                  <c:v>5.1059770584106401</c:v>
                </c:pt>
                <c:pt idx="23">
                  <c:v>76.131376981735201</c:v>
                </c:pt>
                <c:pt idx="24">
                  <c:v>27.7528269290924</c:v>
                </c:pt>
                <c:pt idx="25">
                  <c:v>2.4773657321929901</c:v>
                </c:pt>
                <c:pt idx="26">
                  <c:v>23.6348040103912</c:v>
                </c:pt>
                <c:pt idx="27">
                  <c:v>2.2834339141845699</c:v>
                </c:pt>
                <c:pt idx="28">
                  <c:v>0.40564918518066401</c:v>
                </c:pt>
                <c:pt idx="29">
                  <c:v>9.4609711170196498</c:v>
                </c:pt>
                <c:pt idx="30">
                  <c:v>14.309135913848801</c:v>
                </c:pt>
                <c:pt idx="31">
                  <c:v>57.923951148986802</c:v>
                </c:pt>
                <c:pt idx="32">
                  <c:v>5.7116661071777299</c:v>
                </c:pt>
                <c:pt idx="33">
                  <c:v>7.85804986953735</c:v>
                </c:pt>
                <c:pt idx="34">
                  <c:v>1.24950003623962</c:v>
                </c:pt>
                <c:pt idx="35">
                  <c:v>16.207857131958001</c:v>
                </c:pt>
                <c:pt idx="36">
                  <c:v>160.01235198974601</c:v>
                </c:pt>
                <c:pt idx="37">
                  <c:v>29.034657001495301</c:v>
                </c:pt>
                <c:pt idx="38">
                  <c:v>4.9415972232818604</c:v>
                </c:pt>
                <c:pt idx="39">
                  <c:v>7.9003651142120299</c:v>
                </c:pt>
                <c:pt idx="40">
                  <c:v>24.413677692413302</c:v>
                </c:pt>
                <c:pt idx="41">
                  <c:v>15.300424098968501</c:v>
                </c:pt>
                <c:pt idx="42">
                  <c:v>3.65262699127197</c:v>
                </c:pt>
                <c:pt idx="43">
                  <c:v>1.7452471256256099</c:v>
                </c:pt>
                <c:pt idx="44">
                  <c:v>2.4942851066589302</c:v>
                </c:pt>
                <c:pt idx="45">
                  <c:v>0.54943490028381303</c:v>
                </c:pt>
                <c:pt idx="46">
                  <c:v>121.65338897705</c:v>
                </c:pt>
                <c:pt idx="47">
                  <c:v>6.0995910167694003</c:v>
                </c:pt>
                <c:pt idx="48">
                  <c:v>0.90418004989624001</c:v>
                </c:pt>
                <c:pt idx="49">
                  <c:v>0.34216022491455</c:v>
                </c:pt>
                <c:pt idx="50">
                  <c:v>50.586757898330603</c:v>
                </c:pt>
                <c:pt idx="51">
                  <c:v>3.4451758861541699</c:v>
                </c:pt>
                <c:pt idx="52">
                  <c:v>17.001533031463602</c:v>
                </c:pt>
                <c:pt idx="53">
                  <c:v>74.155246973037706</c:v>
                </c:pt>
                <c:pt idx="54">
                  <c:v>0.32323193550109802</c:v>
                </c:pt>
                <c:pt idx="55">
                  <c:v>150.344864845275</c:v>
                </c:pt>
                <c:pt idx="56">
                  <c:v>61.008630037307697</c:v>
                </c:pt>
                <c:pt idx="57">
                  <c:v>149.492784023284</c:v>
                </c:pt>
                <c:pt idx="58">
                  <c:v>35.188856601715003</c:v>
                </c:pt>
                <c:pt idx="59">
                  <c:v>4.9778258800506503</c:v>
                </c:pt>
                <c:pt idx="60">
                  <c:v>13.994967937469401</c:v>
                </c:pt>
                <c:pt idx="61">
                  <c:v>11.740715026855399</c:v>
                </c:pt>
                <c:pt idx="62">
                  <c:v>1.05549311637878</c:v>
                </c:pt>
                <c:pt idx="63">
                  <c:v>50.825502872466998</c:v>
                </c:pt>
                <c:pt idx="64">
                  <c:v>1.04997205734252</c:v>
                </c:pt>
                <c:pt idx="65">
                  <c:v>16.7730178833007</c:v>
                </c:pt>
                <c:pt idx="66">
                  <c:v>39.643333911895702</c:v>
                </c:pt>
                <c:pt idx="67">
                  <c:v>63.985011100769</c:v>
                </c:pt>
                <c:pt idx="68">
                  <c:v>6.0328731536865199</c:v>
                </c:pt>
                <c:pt idx="69">
                  <c:v>170.475791692733</c:v>
                </c:pt>
                <c:pt idx="70">
                  <c:v>1.3142390251159599</c:v>
                </c:pt>
                <c:pt idx="71">
                  <c:v>11.9096710681915</c:v>
                </c:pt>
                <c:pt idx="72">
                  <c:v>3.3460531234741202</c:v>
                </c:pt>
                <c:pt idx="73">
                  <c:v>11.033772945403999</c:v>
                </c:pt>
                <c:pt idx="74">
                  <c:v>149.37982797622601</c:v>
                </c:pt>
                <c:pt idx="75">
                  <c:v>1.01943087577819</c:v>
                </c:pt>
                <c:pt idx="76">
                  <c:v>2.9585518836975</c:v>
                </c:pt>
                <c:pt idx="77">
                  <c:v>0.42435288429260198</c:v>
                </c:pt>
                <c:pt idx="78">
                  <c:v>6.7174561023712096</c:v>
                </c:pt>
                <c:pt idx="79">
                  <c:v>1.4808759689330999</c:v>
                </c:pt>
                <c:pt idx="80">
                  <c:v>4.1995141506194997</c:v>
                </c:pt>
                <c:pt idx="81">
                  <c:v>4.3387308120727504</c:v>
                </c:pt>
                <c:pt idx="82">
                  <c:v>164.76556301116901</c:v>
                </c:pt>
                <c:pt idx="83">
                  <c:v>10.6356160640716</c:v>
                </c:pt>
                <c:pt idx="84">
                  <c:v>152.292895078659</c:v>
                </c:pt>
                <c:pt idx="85">
                  <c:v>1.2619199752807599</c:v>
                </c:pt>
                <c:pt idx="86">
                  <c:v>15.6691789627075</c:v>
                </c:pt>
                <c:pt idx="87">
                  <c:v>2.5465071201324401</c:v>
                </c:pt>
                <c:pt idx="88">
                  <c:v>5.0318100452423096</c:v>
                </c:pt>
                <c:pt idx="89">
                  <c:v>170.359791994094</c:v>
                </c:pt>
                <c:pt idx="90">
                  <c:v>19.9570569992065</c:v>
                </c:pt>
                <c:pt idx="91">
                  <c:v>7.5589570999145499</c:v>
                </c:pt>
                <c:pt idx="92">
                  <c:v>150.28815317153899</c:v>
                </c:pt>
                <c:pt idx="93">
                  <c:v>3.9464368820190399</c:v>
                </c:pt>
                <c:pt idx="94">
                  <c:v>3.8655099868774401</c:v>
                </c:pt>
                <c:pt idx="95">
                  <c:v>1.9078688621520901</c:v>
                </c:pt>
                <c:pt idx="96">
                  <c:v>4.60408210754394</c:v>
                </c:pt>
                <c:pt idx="97">
                  <c:v>25.647968053817699</c:v>
                </c:pt>
                <c:pt idx="98">
                  <c:v>1.4555149078369101</c:v>
                </c:pt>
                <c:pt idx="99">
                  <c:v>13.409968137741</c:v>
                </c:pt>
                <c:pt idx="100">
                  <c:v>4.6691768169402996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FA-7047-98A4-BA38428AB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139696"/>
        <c:axId val="293131344"/>
      </c:scatterChart>
      <c:valAx>
        <c:axId val="17875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719152"/>
        <c:crosses val="autoZero"/>
        <c:crossBetween val="midCat"/>
      </c:valAx>
      <c:valAx>
        <c:axId val="178771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537856"/>
        <c:crosses val="autoZero"/>
        <c:crossBetween val="midCat"/>
      </c:valAx>
      <c:valAx>
        <c:axId val="293131344"/>
        <c:scaling>
          <c:orientation val="minMax"/>
        </c:scaling>
        <c:delete val="0"/>
        <c:axPos val="r"/>
        <c:numFmt formatCode="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139696"/>
        <c:crosses val="max"/>
        <c:crossBetween val="midCat"/>
      </c:valAx>
      <c:valAx>
        <c:axId val="293139696"/>
        <c:scaling>
          <c:orientation val="minMax"/>
        </c:scaling>
        <c:delete val="1"/>
        <c:axPos val="b"/>
        <c:majorTickMark val="out"/>
        <c:minorTickMark val="none"/>
        <c:tickLblPos val="nextTo"/>
        <c:crossAx val="293131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234950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84B7F-919E-EB43-AC7A-CA924286F6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755650</xdr:colOff>
      <xdr:row>2</xdr:row>
      <xdr:rowOff>50800</xdr:rowOff>
    </xdr:from>
    <xdr:to>
      <xdr:col>17</xdr:col>
      <xdr:colOff>165100</xdr:colOff>
      <xdr:row>41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EFCD2-6CB2-757C-0E5F-5551DFC913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234950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A9023-0CCE-6F4B-974F-9CF07EDD2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9BC7B-4CFE-BE4D-8805-36EAF396F331}" name="Diff3" displayName="Diff3" ref="H1:L101" totalsRowShown="0">
  <autoFilter ref="H1:L101" xr:uid="{77F9BC7B-4CFE-BE4D-8805-36EAF396F331}"/>
  <sortState xmlns:xlrd2="http://schemas.microsoft.com/office/spreadsheetml/2017/richdata2" ref="H2:L101">
    <sortCondition descending="1" ref="J1:J101"/>
  </sortState>
  <tableColumns count="5">
    <tableColumn id="1" xr3:uid="{1E26F6E6-F69B-5A4C-8717-4E602BF982E1}" name="Board Index"/>
    <tableColumn id="2" xr3:uid="{452CFB18-829A-0440-8A9E-9A0B01B30C41}" name="Time Backtrack" dataDxfId="15"/>
    <tableColumn id="3" xr3:uid="{DF3485E1-F49F-6444-A6E9-2F3A9140554B}" name="Time ML Backtrack" dataDxfId="14"/>
    <tableColumn id="4" xr3:uid="{F4D07CCE-A2CE-1748-84D5-526F7D23EFA6}" name="Time Backtrack Modified" dataDxfId="13"/>
    <tableColumn id="5" xr3:uid="{0AD76E4F-006A-FB49-A6F2-A3495C54D815}" name="Backtrack Modified Saved backtrac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953947-E924-9E46-9BF6-E97BA0C2CB2E}" name="Diff4" displayName="Diff4" ref="N1:R101" totalsRowShown="0" headerRowDxfId="12">
  <autoFilter ref="N1:R101" xr:uid="{A3953947-E924-9E46-9BF6-E97BA0C2CB2E}"/>
  <tableColumns count="5">
    <tableColumn id="1" xr3:uid="{DC434E1D-7C01-0D4F-A10B-4DA2EA47241A}" name="Board Index" dataDxfId="11"/>
    <tableColumn id="2" xr3:uid="{FE87EA28-3B6A-6B47-BD47-5E29C8CE6B0A}" name="Time Backtrack" dataDxfId="10"/>
    <tableColumn id="3" xr3:uid="{F025ACAC-C3F1-994E-A95B-5B18E4A43FDB}" name="Time ML Backtrack" dataDxfId="9"/>
    <tableColumn id="4" xr3:uid="{CFBBE8B3-DC71-9148-BAF3-35BE5E44F603}" name="Time Backtrack Modified" dataDxfId="8"/>
    <tableColumn id="5" xr3:uid="{1494E4C3-A43A-E149-8938-2B233B0BD054}" name="Backtrack Modified Saved backtracks" dataDxfId="7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C67A2F-D793-8742-829A-9773DF7D9201}" name="Diff2" displayName="Diff2" ref="B1:F101" totalsRowShown="0">
  <autoFilter ref="B1:F101" xr:uid="{2CC67A2F-D793-8742-829A-9773DF7D9201}"/>
  <tableColumns count="5">
    <tableColumn id="1" xr3:uid="{A37DABC1-705D-6E45-99AB-803F54706E9A}" name="Board Index"/>
    <tableColumn id="2" xr3:uid="{739F8126-2709-A542-8E48-A104A7D0FF02}" name="Time Backtrack" dataDxfId="6"/>
    <tableColumn id="3" xr3:uid="{76AA1A24-60C8-E441-B276-EE752661E034}" name="Time ML Backtrack" dataDxfId="5"/>
    <tableColumn id="4" xr3:uid="{75DE26C4-2022-BF4A-852C-F18DCC3AC52F}" name="Time Backtrack Modified" dataDxfId="4"/>
    <tableColumn id="5" xr3:uid="{9B18D4CF-2D27-CD4B-8AD9-63DDF834D425}" name="Backtrack Modified Saved backtrack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D4DF4-0AFF-3443-8890-70D78A6ABCC7}">
  <dimension ref="B2:R8"/>
  <sheetViews>
    <sheetView workbookViewId="0">
      <selection activeCell="E17" sqref="E17"/>
    </sheetView>
  </sheetViews>
  <sheetFormatPr baseColWidth="10" defaultRowHeight="16" x14ac:dyDescent="0.2"/>
  <cols>
    <col min="1" max="1" width="4.5" customWidth="1"/>
    <col min="2" max="2" width="10" bestFit="1" customWidth="1"/>
    <col min="3" max="3" width="14.1640625" bestFit="1" customWidth="1"/>
    <col min="4" max="4" width="7" bestFit="1" customWidth="1"/>
    <col min="5" max="5" width="20.6640625" bestFit="1" customWidth="1"/>
    <col min="6" max="6" width="27.5" bestFit="1" customWidth="1"/>
    <col min="8" max="8" width="10" bestFit="1" customWidth="1"/>
    <col min="9" max="9" width="14.1640625" bestFit="1" customWidth="1"/>
    <col min="10" max="10" width="7.5" bestFit="1" customWidth="1"/>
    <col min="11" max="11" width="20.6640625" bestFit="1" customWidth="1"/>
    <col min="12" max="12" width="27.5" bestFit="1" customWidth="1"/>
    <col min="14" max="14" width="10" bestFit="1" customWidth="1"/>
    <col min="15" max="15" width="14.1640625" bestFit="1" customWidth="1"/>
    <col min="16" max="16" width="7" bestFit="1" customWidth="1"/>
    <col min="17" max="17" width="20.6640625" bestFit="1" customWidth="1"/>
    <col min="18" max="18" width="27.5" bestFit="1" customWidth="1"/>
  </cols>
  <sheetData>
    <row r="2" spans="2:18" x14ac:dyDescent="0.2">
      <c r="B2" s="12" t="s">
        <v>8</v>
      </c>
      <c r="C2" s="13"/>
      <c r="D2" s="13"/>
      <c r="E2" s="13"/>
      <c r="F2" s="13"/>
      <c r="H2" s="14" t="s">
        <v>9</v>
      </c>
      <c r="I2" s="15"/>
      <c r="J2" s="15"/>
      <c r="K2" s="15"/>
      <c r="L2" s="15"/>
      <c r="N2" s="16" t="s">
        <v>10</v>
      </c>
      <c r="O2" s="17"/>
      <c r="P2" s="17"/>
      <c r="Q2" s="17"/>
      <c r="R2" s="17"/>
    </row>
    <row r="3" spans="2:18" ht="30" x14ac:dyDescent="0.2">
      <c r="B3" s="3"/>
      <c r="C3" s="3" t="s">
        <v>5</v>
      </c>
      <c r="D3" s="3" t="s">
        <v>7</v>
      </c>
      <c r="E3" s="3" t="s">
        <v>6</v>
      </c>
      <c r="F3" s="8" t="s">
        <v>16</v>
      </c>
      <c r="H3" s="5"/>
      <c r="I3" s="5" t="s">
        <v>5</v>
      </c>
      <c r="J3" s="5" t="s">
        <v>7</v>
      </c>
      <c r="K3" s="5" t="s">
        <v>6</v>
      </c>
      <c r="L3" s="9" t="s">
        <v>16</v>
      </c>
      <c r="N3" s="6"/>
      <c r="O3" s="6" t="s">
        <v>5</v>
      </c>
      <c r="P3" s="6" t="s">
        <v>7</v>
      </c>
      <c r="Q3" s="6" t="s">
        <v>6</v>
      </c>
      <c r="R3" s="10" t="s">
        <v>16</v>
      </c>
    </row>
    <row r="4" spans="2:18" x14ac:dyDescent="0.2">
      <c r="B4" s="4" t="s">
        <v>11</v>
      </c>
      <c r="C4" s="7">
        <f>AVERAGE(Diff2[Time Backtrack])</f>
        <v>1.0971733403205852</v>
      </c>
      <c r="D4" s="7">
        <f>AVERAGE(Diff2[Time ML Backtrack])</f>
        <v>0.18635027408599811</v>
      </c>
      <c r="E4" s="7">
        <f>AVERAGE(Diff2[Time Backtrack Modified])</f>
        <v>0.19215274333953833</v>
      </c>
      <c r="F4" s="11">
        <f>AVERAGE(Diff2[Backtrack Modified Saved backtracks])</f>
        <v>113491.94</v>
      </c>
      <c r="H4" s="4" t="s">
        <v>11</v>
      </c>
      <c r="I4" s="7">
        <f>AVERAGE(Diff3[Time Backtrack])</f>
        <v>2.6704131364822383</v>
      </c>
      <c r="J4" s="7">
        <f>AVERAGE(Diff3[Time ML Backtrack])</f>
        <v>3.8393553423881497</v>
      </c>
      <c r="K4" s="7">
        <f>AVERAGE(Diff3[Time Backtrack Modified])</f>
        <v>0.32562711715698195</v>
      </c>
      <c r="L4" s="11">
        <f>AVERAGE(Diff3[Backtrack Modified Saved backtracks])</f>
        <v>252703.67</v>
      </c>
      <c r="N4" s="4" t="s">
        <v>11</v>
      </c>
      <c r="O4" s="7">
        <f>AVERAGE(Diff4[Time Backtrack])</f>
        <v>3.6735676383972158</v>
      </c>
      <c r="P4" s="7">
        <f>AVERAGE(Diff4[Time ML Backtrack])</f>
        <v>33.066928768157879</v>
      </c>
      <c r="Q4" s="7">
        <f>AVERAGE(Diff4[Time Backtrack Modified])</f>
        <v>0.83375230550765833</v>
      </c>
      <c r="R4" s="11">
        <f>AVERAGE(Diff3[Backtrack Modified Saved backtracks])</f>
        <v>252703.67</v>
      </c>
    </row>
    <row r="5" spans="2:18" hidden="1" x14ac:dyDescent="0.2">
      <c r="B5" s="4" t="s">
        <v>12</v>
      </c>
      <c r="C5" s="7">
        <f>STDEV(Diff2[Time Backtrack])</f>
        <v>1.5033497186367231</v>
      </c>
      <c r="D5" s="7">
        <f>STDEV(Diff2[Time ML Backtrack])</f>
        <v>0.28137864740997653</v>
      </c>
      <c r="E5" s="7">
        <f>STDEV(Diff2[Time Backtrack Modified])</f>
        <v>3.6871642185537519E-2</v>
      </c>
      <c r="F5" s="11">
        <f>STDEV(Diff2[Backtrack Modified Saved backtracks])</f>
        <v>157850.2855182029</v>
      </c>
      <c r="H5" s="4" t="s">
        <v>12</v>
      </c>
      <c r="I5" s="7">
        <f>STDEV(Diff3[Time Backtrack])</f>
        <v>2.5808345919963429</v>
      </c>
      <c r="J5" s="7">
        <f>STDEV(Diff3[Time ML Backtrack])</f>
        <v>16.149904810419784</v>
      </c>
      <c r="K5" s="7">
        <f>STDEV(Diff3[Time Backtrack Modified])</f>
        <v>0.2959229345787599</v>
      </c>
      <c r="L5" s="11">
        <f>STDEV(Diff3[Backtrack Modified Saved backtracks])</f>
        <v>253369.58895326123</v>
      </c>
      <c r="N5" s="4" t="s">
        <v>12</v>
      </c>
      <c r="O5" s="7">
        <f>STDEV(Diff4[Time Backtrack])</f>
        <v>2.7665789276891659</v>
      </c>
      <c r="P5" s="7">
        <f>STDEV(Diff4[Time ML Backtrack])</f>
        <v>49.356528676619455</v>
      </c>
      <c r="Q5" s="7">
        <f>STDEV(Diff4[Time Backtrack Modified])</f>
        <v>0.84438720679599488</v>
      </c>
      <c r="R5" s="11">
        <f>STDEV(Diff4[Backtrack Modified Saved backtracks])</f>
        <v>234365.27419330823</v>
      </c>
    </row>
    <row r="6" spans="2:18" x14ac:dyDescent="0.2">
      <c r="B6" s="4" t="s">
        <v>13</v>
      </c>
      <c r="C6" s="7">
        <f>MIN(Diff2[Time Backtrack])</f>
        <v>5.7957172393798802E-3</v>
      </c>
      <c r="D6" s="7">
        <f>MIN(Diff2[Time ML Backtrack])</f>
        <v>6.0479640960693299E-3</v>
      </c>
      <c r="E6" s="7">
        <f>MIN(Diff2[Time Backtrack Modified])</f>
        <v>0.113376855850219</v>
      </c>
      <c r="F6" s="11">
        <f>MIN(Diff2[Backtrack Modified Saved backtracks])</f>
        <v>502</v>
      </c>
      <c r="H6" s="4" t="s">
        <v>13</v>
      </c>
      <c r="I6" s="7">
        <f>MIN(Diff3[Time Backtrack])</f>
        <v>2.0488262176513599E-2</v>
      </c>
      <c r="J6" s="7">
        <f>MIN(Diff3[Time ML Backtrack])</f>
        <v>5.4395914077758699E-2</v>
      </c>
      <c r="K6" s="7">
        <f>MIN(Diff3[Time Backtrack Modified])</f>
        <v>0.102138757705688</v>
      </c>
      <c r="L6" s="11">
        <f>MIN(Diff3[Backtrack Modified Saved backtracks])</f>
        <v>740</v>
      </c>
      <c r="N6" s="4" t="s">
        <v>13</v>
      </c>
      <c r="O6" s="7">
        <f>MIN(Diff4[Time Backtrack])</f>
        <v>3.6857128143310498E-2</v>
      </c>
      <c r="P6" s="7">
        <f>MIN(Diff4[Time ML Backtrack])</f>
        <v>0.32323193550109802</v>
      </c>
      <c r="Q6" s="7">
        <f>MIN(Diff4[Time Backtrack Modified])</f>
        <v>7.9239845275878906E-2</v>
      </c>
      <c r="R6" s="11">
        <f>MIN(Diff4[Backtrack Modified Saved backtracks])</f>
        <v>2088</v>
      </c>
    </row>
    <row r="7" spans="2:18" x14ac:dyDescent="0.2">
      <c r="B7" s="4" t="s">
        <v>14</v>
      </c>
      <c r="C7" s="7">
        <f>MEDIAN(Diff2[Time Backtrack])</f>
        <v>0.42053890228271451</v>
      </c>
      <c r="D7" s="7">
        <f>MEDIAN(Diff2[Time ML Backtrack])</f>
        <v>0.10324001312255801</v>
      </c>
      <c r="E7" s="7">
        <f>MEDIAN(Diff2[Time Backtrack Modified])</f>
        <v>0.186656594276428</v>
      </c>
      <c r="F7" s="11">
        <f>MEDIAN(Diff2[Backtrack Modified Saved backtracks])</f>
        <v>41865</v>
      </c>
      <c r="H7" s="4" t="s">
        <v>14</v>
      </c>
      <c r="I7" s="7">
        <f>MEDIAN(Diff3[Time Backtrack])</f>
        <v>1.47853243350982</v>
      </c>
      <c r="J7" s="7">
        <f>MEDIAN(Diff3[Time ML Backtrack])</f>
        <v>0.59274208545684792</v>
      </c>
      <c r="K7" s="7">
        <f>MEDIAN(Diff3[Time Backtrack Modified])</f>
        <v>0.2166575193405145</v>
      </c>
      <c r="L7" s="11">
        <f>MEDIAN(Diff3[Backtrack Modified Saved backtracks])</f>
        <v>129780.5</v>
      </c>
      <c r="N7" s="4" t="s">
        <v>14</v>
      </c>
      <c r="O7" s="7">
        <f>MEDIAN(Diff4[Time Backtrack])</f>
        <v>3.1610915660858101</v>
      </c>
      <c r="P7" s="7">
        <f>MEDIAN(Diff4[Time ML Backtrack])</f>
        <v>10.834694504737801</v>
      </c>
      <c r="Q7" s="7">
        <f>MEDIAN(Diff4[Time Backtrack Modified])</f>
        <v>0.48740243911743153</v>
      </c>
      <c r="R7" s="11">
        <f>MEDIAN(Diff4[Backtrack Modified Saved backtracks])</f>
        <v>236663</v>
      </c>
    </row>
    <row r="8" spans="2:18" x14ac:dyDescent="0.2">
      <c r="B8" s="4" t="s">
        <v>15</v>
      </c>
      <c r="C8" s="7">
        <f>MAX(Diff2[Time Backtrack])</f>
        <v>6.3585410118103001</v>
      </c>
      <c r="D8" s="7">
        <f>MAX(Diff2[Time ML Backtrack])</f>
        <v>1.8217527866363501</v>
      </c>
      <c r="E8" s="7">
        <f>MAX(Diff2[Time Backtrack Modified])</f>
        <v>0.31021618843078602</v>
      </c>
      <c r="F8" s="11">
        <f>MAX(Diff2[Backtrack Modified Saved backtracks])</f>
        <v>661375</v>
      </c>
      <c r="H8" s="4" t="s">
        <v>15</v>
      </c>
      <c r="I8" s="7">
        <f>MAX(Diff3[Time Backtrack])</f>
        <v>9.0804507732391304</v>
      </c>
      <c r="J8" s="7">
        <f>MAX(Diff3[Time ML Backtrack])</f>
        <v>156.766451358795</v>
      </c>
      <c r="K8" s="7">
        <f>MAX(Diff3[Time Backtrack Modified])</f>
        <v>1.8687150478362999</v>
      </c>
      <c r="L8" s="11">
        <f>MAX(Diff3[Backtrack Modified Saved backtracks])</f>
        <v>900038</v>
      </c>
      <c r="N8" s="4" t="s">
        <v>15</v>
      </c>
      <c r="O8" s="7">
        <f>MAX(Diff4[Time Backtrack])</f>
        <v>9.2141368389129603</v>
      </c>
      <c r="P8" s="7">
        <f>MAX(Diff4[Time ML Backtrack])</f>
        <v>170.475791692733</v>
      </c>
      <c r="Q8" s="7">
        <f>MAX(Diff4[Time Backtrack Modified])</f>
        <v>3.8061847686767498</v>
      </c>
      <c r="R8" s="11">
        <f>MAX(Diff4[Backtrack Modified Saved backtracks])</f>
        <v>846540</v>
      </c>
    </row>
  </sheetData>
  <mergeCells count="3">
    <mergeCell ref="B2:F2"/>
    <mergeCell ref="H2:L2"/>
    <mergeCell ref="N2:R2"/>
  </mergeCells>
  <conditionalFormatting sqref="C4:F8">
    <cfRule type="expression" dxfId="3" priority="3">
      <formula>C4=MIN($C4:$E4)</formula>
    </cfRule>
  </conditionalFormatting>
  <conditionalFormatting sqref="I4:L8">
    <cfRule type="expression" dxfId="2" priority="4">
      <formula>I4=MIN($I4:$K4)</formula>
    </cfRule>
  </conditionalFormatting>
  <conditionalFormatting sqref="O4:Q8 R5:R8">
    <cfRule type="expression" dxfId="1" priority="5">
      <formula>O4=MIN($O4:$Q4)</formula>
    </cfRule>
  </conditionalFormatting>
  <conditionalFormatting sqref="R4">
    <cfRule type="expression" dxfId="0" priority="1">
      <formula>R4=MIN($I4:$K4)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44381-C7B8-4E42-BE67-851872F93CB5}">
  <dimension ref="A1"/>
  <sheetViews>
    <sheetView tabSelected="1" workbookViewId="0">
      <selection activeCell="N45" sqref="N4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360B9-CD4B-D446-A8D2-50F7F4DAA3EE}">
  <dimension ref="A1"/>
  <sheetViews>
    <sheetView workbookViewId="0">
      <selection activeCell="S15" sqref="S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E340-3392-7A4E-A4EC-0FD6FAA040DC}">
  <dimension ref="A1"/>
  <sheetViews>
    <sheetView workbookViewId="0">
      <selection activeCell="T22" sqref="T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9B95E-DD78-FF44-A72F-509E9932C015}">
  <dimension ref="B1:R101"/>
  <sheetViews>
    <sheetView workbookViewId="0">
      <selection activeCell="D44" sqref="D44"/>
    </sheetView>
  </sheetViews>
  <sheetFormatPr baseColWidth="10" defaultRowHeight="16" x14ac:dyDescent="0.2"/>
  <cols>
    <col min="2" max="2" width="13" customWidth="1"/>
    <col min="3" max="3" width="15.83203125" customWidth="1"/>
    <col min="4" max="4" width="18.5" customWidth="1"/>
    <col min="5" max="5" width="23.1640625" customWidth="1"/>
    <col min="6" max="6" width="33.33203125" customWidth="1"/>
    <col min="7" max="7" width="5" customWidth="1"/>
    <col min="8" max="8" width="13.1640625" bestFit="1" customWidth="1"/>
    <col min="9" max="9" width="16.5" bestFit="1" customWidth="1"/>
    <col min="10" max="10" width="19.5" bestFit="1" customWidth="1"/>
    <col min="11" max="11" width="24.33203125" bestFit="1" customWidth="1"/>
    <col min="12" max="12" width="35.1640625" bestFit="1" customWidth="1"/>
    <col min="13" max="13" width="5" customWidth="1"/>
    <col min="14" max="14" width="13" customWidth="1"/>
    <col min="15" max="15" width="15.83203125" customWidth="1"/>
    <col min="16" max="16" width="18.5" customWidth="1"/>
    <col min="17" max="17" width="23.1640625" customWidth="1"/>
    <col min="18" max="18" width="33.33203125" customWidth="1"/>
  </cols>
  <sheetData>
    <row r="1" spans="2:18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H1" t="s">
        <v>0</v>
      </c>
      <c r="I1" t="s">
        <v>1</v>
      </c>
      <c r="J1" t="s">
        <v>2</v>
      </c>
      <c r="K1" t="s">
        <v>3</v>
      </c>
      <c r="L1" t="s">
        <v>4</v>
      </c>
      <c r="M1" s="2"/>
      <c r="N1" s="2" t="s">
        <v>0</v>
      </c>
      <c r="O1" s="2" t="s">
        <v>1</v>
      </c>
      <c r="P1" s="2" t="s">
        <v>2</v>
      </c>
      <c r="Q1" s="2" t="s">
        <v>3</v>
      </c>
      <c r="R1" s="2" t="s">
        <v>4</v>
      </c>
    </row>
    <row r="2" spans="2:18" x14ac:dyDescent="0.2">
      <c r="B2">
        <v>0</v>
      </c>
      <c r="C2" s="1">
        <v>4.08298969268798E-2</v>
      </c>
      <c r="D2" s="1">
        <v>0.26318812370300199</v>
      </c>
      <c r="E2" s="1">
        <v>0.113376855850219</v>
      </c>
      <c r="F2">
        <v>4106</v>
      </c>
      <c r="G2" s="1"/>
      <c r="H2">
        <v>40</v>
      </c>
      <c r="I2" s="1">
        <v>0.63574814796447698</v>
      </c>
      <c r="J2" s="1">
        <v>156.766451358795</v>
      </c>
      <c r="K2" s="1">
        <v>0.17857193946838301</v>
      </c>
      <c r="L2">
        <v>43925</v>
      </c>
      <c r="M2" s="2"/>
      <c r="N2" s="2">
        <v>0</v>
      </c>
      <c r="O2" s="1">
        <v>0.48163986206054599</v>
      </c>
      <c r="P2" s="1">
        <v>6.8776969909667898</v>
      </c>
      <c r="Q2" s="1">
        <v>0.23844099044799799</v>
      </c>
      <c r="R2">
        <v>30749</v>
      </c>
    </row>
    <row r="3" spans="2:18" x14ac:dyDescent="0.2">
      <c r="B3">
        <v>1</v>
      </c>
      <c r="C3" s="1">
        <v>5.3668737411499003E-2</v>
      </c>
      <c r="D3" s="1">
        <v>4.7463893890380797E-2</v>
      </c>
      <c r="E3" s="1">
        <v>0.17929100990295399</v>
      </c>
      <c r="F3">
        <v>6087</v>
      </c>
      <c r="H3">
        <v>3</v>
      </c>
      <c r="I3" s="1">
        <v>0.67248797416687001</v>
      </c>
      <c r="J3" s="1">
        <v>24.061395168304401</v>
      </c>
      <c r="K3" s="1">
        <v>0.20505905151367099</v>
      </c>
      <c r="L3">
        <v>204653</v>
      </c>
      <c r="M3" s="2"/>
      <c r="N3" s="2">
        <v>1</v>
      </c>
      <c r="O3" s="1">
        <v>4.9584817886352504</v>
      </c>
      <c r="P3" s="1">
        <v>13.216145277023299</v>
      </c>
      <c r="Q3" s="1">
        <v>0.48109388351440402</v>
      </c>
      <c r="R3">
        <v>413481</v>
      </c>
    </row>
    <row r="4" spans="2:18" x14ac:dyDescent="0.2">
      <c r="B4">
        <v>2</v>
      </c>
      <c r="C4" s="1">
        <v>1.50270462036132E-2</v>
      </c>
      <c r="D4" s="1">
        <v>0.12154483795166</v>
      </c>
      <c r="E4" s="1">
        <v>0.15759801864624001</v>
      </c>
      <c r="F4">
        <v>1318</v>
      </c>
      <c r="H4">
        <v>87</v>
      </c>
      <c r="I4" s="1">
        <v>0.92527294158935502</v>
      </c>
      <c r="J4" s="1">
        <v>22.6459941864013</v>
      </c>
      <c r="K4" s="1">
        <v>0.24343776702880801</v>
      </c>
      <c r="L4">
        <v>394783</v>
      </c>
      <c r="M4" s="2"/>
      <c r="N4" s="2">
        <v>2</v>
      </c>
      <c r="O4" s="1">
        <v>6.97332715988159</v>
      </c>
      <c r="P4" s="1">
        <v>38.0997538566589</v>
      </c>
      <c r="Q4" s="1">
        <v>0.67379093170166005</v>
      </c>
      <c r="R4">
        <v>579110</v>
      </c>
    </row>
    <row r="5" spans="2:18" x14ac:dyDescent="0.2">
      <c r="B5">
        <v>3</v>
      </c>
      <c r="C5" s="1">
        <v>0.44881606101989702</v>
      </c>
      <c r="D5" s="1">
        <v>0.129947900772094</v>
      </c>
      <c r="E5" s="1">
        <v>0.18474698066711401</v>
      </c>
      <c r="F5">
        <v>42299</v>
      </c>
      <c r="H5">
        <v>50</v>
      </c>
      <c r="I5" s="1">
        <v>2.3012890815734801</v>
      </c>
      <c r="J5" s="1">
        <v>18.608196973800599</v>
      </c>
      <c r="K5" s="1">
        <v>1.09746289253234</v>
      </c>
      <c r="L5">
        <v>56907</v>
      </c>
      <c r="M5" s="2"/>
      <c r="N5" s="2">
        <v>3</v>
      </c>
      <c r="O5" s="1">
        <v>5.8771803379058802</v>
      </c>
      <c r="P5" s="1">
        <v>60.836187124252298</v>
      </c>
      <c r="Q5" s="1">
        <v>1.45401406288146</v>
      </c>
      <c r="R5">
        <v>397183</v>
      </c>
    </row>
    <row r="6" spans="2:18" x14ac:dyDescent="0.2">
      <c r="B6">
        <v>4</v>
      </c>
      <c r="C6" s="1">
        <v>1.08935618400573</v>
      </c>
      <c r="D6" s="1">
        <v>6.3498020172119099E-2</v>
      </c>
      <c r="E6" s="1">
        <v>0.19495201110839799</v>
      </c>
      <c r="F6">
        <v>101870</v>
      </c>
      <c r="H6">
        <v>95</v>
      </c>
      <c r="I6" s="1">
        <v>4.58033919334411</v>
      </c>
      <c r="J6" s="1">
        <v>17.978359222412099</v>
      </c>
      <c r="K6" s="1">
        <v>0.74458575248718195</v>
      </c>
      <c r="L6">
        <v>151025</v>
      </c>
      <c r="M6" s="2"/>
      <c r="N6" s="2">
        <v>4</v>
      </c>
      <c r="O6" s="1">
        <v>0.17791175842285101</v>
      </c>
      <c r="P6" s="1">
        <v>0.98246502876281705</v>
      </c>
      <c r="Q6" s="1">
        <v>0.15140914916992099</v>
      </c>
      <c r="R6">
        <v>12690</v>
      </c>
    </row>
    <row r="7" spans="2:18" x14ac:dyDescent="0.2">
      <c r="B7">
        <v>5</v>
      </c>
      <c r="C7" s="1">
        <v>0.11964297294616601</v>
      </c>
      <c r="D7" s="1">
        <v>7.2679996490478502E-2</v>
      </c>
      <c r="E7" s="1">
        <v>0.18502688407897899</v>
      </c>
      <c r="F7">
        <v>13587</v>
      </c>
      <c r="H7">
        <v>42</v>
      </c>
      <c r="I7" s="1">
        <v>7.7259588241577104</v>
      </c>
      <c r="J7" s="1">
        <v>16.6772651672363</v>
      </c>
      <c r="K7" s="1">
        <v>0.34394311904907199</v>
      </c>
      <c r="L7">
        <v>658331</v>
      </c>
      <c r="M7" s="2"/>
      <c r="N7" s="2">
        <v>5</v>
      </c>
      <c r="O7" s="1">
        <v>5.8313288688659597</v>
      </c>
      <c r="P7" s="1">
        <v>58.5769040584564</v>
      </c>
      <c r="Q7" s="1">
        <v>1.4515368938446001</v>
      </c>
      <c r="R7">
        <v>397183</v>
      </c>
    </row>
    <row r="8" spans="2:18" x14ac:dyDescent="0.2">
      <c r="B8">
        <v>6</v>
      </c>
      <c r="C8" s="1">
        <v>4.0229310989379803</v>
      </c>
      <c r="D8" s="1">
        <v>5.2444934844970703E-2</v>
      </c>
      <c r="E8" s="1">
        <v>0.17844128608703599</v>
      </c>
      <c r="F8">
        <v>403938</v>
      </c>
      <c r="H8">
        <v>55</v>
      </c>
      <c r="I8" s="1">
        <v>3.1966860294342001</v>
      </c>
      <c r="J8" s="1">
        <v>15.2315399646759</v>
      </c>
      <c r="K8" s="1">
        <v>0.45211005210876398</v>
      </c>
      <c r="L8">
        <v>555633</v>
      </c>
      <c r="M8" s="2"/>
      <c r="N8" s="2">
        <v>6</v>
      </c>
      <c r="O8" s="1">
        <v>2.6336429119110099</v>
      </c>
      <c r="P8" s="1">
        <v>13.4923367500305</v>
      </c>
      <c r="Q8" s="1">
        <v>0.28164887428283603</v>
      </c>
      <c r="R8">
        <v>244448</v>
      </c>
    </row>
    <row r="9" spans="2:18" x14ac:dyDescent="0.2">
      <c r="B9">
        <v>7</v>
      </c>
      <c r="C9" s="1">
        <v>0.13371801376342701</v>
      </c>
      <c r="D9" s="1">
        <v>8.6581945419311496E-2</v>
      </c>
      <c r="E9" s="1">
        <v>0.19108891487121499</v>
      </c>
      <c r="F9">
        <v>12736</v>
      </c>
      <c r="H9">
        <v>79</v>
      </c>
      <c r="I9" s="1">
        <v>2.2461478710174498</v>
      </c>
      <c r="J9" s="1">
        <v>10.437632083892799</v>
      </c>
      <c r="K9" s="1">
        <v>0.52914905548095703</v>
      </c>
      <c r="L9">
        <v>639213</v>
      </c>
      <c r="M9" s="2"/>
      <c r="N9" s="2">
        <v>7</v>
      </c>
      <c r="O9" s="1">
        <v>0.57809090614318803</v>
      </c>
      <c r="P9" s="1">
        <v>12.288042068481399</v>
      </c>
      <c r="Q9" s="1">
        <v>0.112984180450439</v>
      </c>
      <c r="R9">
        <v>55129</v>
      </c>
    </row>
    <row r="10" spans="2:18" x14ac:dyDescent="0.2">
      <c r="B10">
        <v>8</v>
      </c>
      <c r="C10" s="1">
        <v>0.829415082931518</v>
      </c>
      <c r="D10" s="1">
        <v>8.6635112762451102E-2</v>
      </c>
      <c r="E10" s="1">
        <v>0.16890907287597601</v>
      </c>
      <c r="F10">
        <v>93110</v>
      </c>
      <c r="H10">
        <v>11</v>
      </c>
      <c r="I10" s="1">
        <v>2.1987838745117099</v>
      </c>
      <c r="J10" s="1">
        <v>9.8067467212677002</v>
      </c>
      <c r="K10" s="1">
        <v>0.52266216278076105</v>
      </c>
      <c r="L10">
        <v>810215</v>
      </c>
      <c r="M10" s="2"/>
      <c r="N10" s="2">
        <v>8</v>
      </c>
      <c r="O10" s="1">
        <v>7.7068631649017298</v>
      </c>
      <c r="P10" s="1">
        <v>164.786612987518</v>
      </c>
      <c r="Q10" s="1">
        <v>1.95824193954467</v>
      </c>
      <c r="R10">
        <v>589924</v>
      </c>
    </row>
    <row r="11" spans="2:18" x14ac:dyDescent="0.2">
      <c r="B11">
        <v>9</v>
      </c>
      <c r="C11" s="1">
        <v>8.6948871612548793E-3</v>
      </c>
      <c r="D11" s="1">
        <v>9.9039316177368095E-2</v>
      </c>
      <c r="E11" s="1">
        <v>0.15040683746337799</v>
      </c>
      <c r="F11">
        <v>597</v>
      </c>
      <c r="H11">
        <v>70</v>
      </c>
      <c r="I11" s="1">
        <v>1.2115390300750699</v>
      </c>
      <c r="J11" s="1">
        <v>6.6643178462982098</v>
      </c>
      <c r="K11" s="1">
        <v>0.36478710174560502</v>
      </c>
      <c r="L11">
        <v>27327</v>
      </c>
      <c r="M11" s="2"/>
      <c r="N11" s="2">
        <v>9</v>
      </c>
      <c r="O11" s="1">
        <v>5.55934286117553</v>
      </c>
      <c r="P11" s="1">
        <v>153.558559894561</v>
      </c>
      <c r="Q11" s="1">
        <v>0.92708086967468195</v>
      </c>
      <c r="R11">
        <v>454086</v>
      </c>
    </row>
    <row r="12" spans="2:18" x14ac:dyDescent="0.2">
      <c r="B12">
        <v>10</v>
      </c>
      <c r="C12" s="1">
        <v>0.18094182014465299</v>
      </c>
      <c r="D12" s="1">
        <v>3.9536714553833001E-2</v>
      </c>
      <c r="E12" s="1">
        <v>0.168430805206298</v>
      </c>
      <c r="F12">
        <v>18101</v>
      </c>
      <c r="H12">
        <v>69</v>
      </c>
      <c r="I12" s="1">
        <v>3.61444091796875</v>
      </c>
      <c r="J12" s="1">
        <v>4.6320350170135498</v>
      </c>
      <c r="K12" s="1">
        <v>0.55305123329162598</v>
      </c>
      <c r="L12">
        <v>61907</v>
      </c>
      <c r="M12" s="2"/>
      <c r="N12" s="2">
        <v>10</v>
      </c>
      <c r="O12" s="1">
        <v>0.37248396873474099</v>
      </c>
      <c r="P12" s="1">
        <v>90.190104007720905</v>
      </c>
      <c r="Q12" s="1">
        <v>0.19868803024291901</v>
      </c>
      <c r="R12">
        <v>20999</v>
      </c>
    </row>
    <row r="13" spans="2:18" x14ac:dyDescent="0.2">
      <c r="B13">
        <v>11</v>
      </c>
      <c r="C13" s="1">
        <v>0.108164072036743</v>
      </c>
      <c r="D13" s="1">
        <v>0.10016202926635701</v>
      </c>
      <c r="E13" s="1">
        <v>0.18383121490478499</v>
      </c>
      <c r="F13">
        <v>11838</v>
      </c>
      <c r="H13">
        <v>12</v>
      </c>
      <c r="I13" s="1">
        <v>3.58169317245483</v>
      </c>
      <c r="J13" s="1">
        <v>4.5906658172607404</v>
      </c>
      <c r="K13" s="1">
        <v>0.55150008201599099</v>
      </c>
      <c r="L13">
        <v>186609</v>
      </c>
      <c r="M13" s="2"/>
      <c r="N13" s="2">
        <v>11</v>
      </c>
      <c r="O13" s="1">
        <v>0.51843309402465798</v>
      </c>
      <c r="P13" s="1">
        <v>61.664849996566701</v>
      </c>
      <c r="Q13" s="1">
        <v>0.33823490142822199</v>
      </c>
      <c r="R13">
        <v>26276</v>
      </c>
    </row>
    <row r="14" spans="2:18" x14ac:dyDescent="0.2">
      <c r="B14">
        <v>12</v>
      </c>
      <c r="C14" s="1">
        <v>0.13501214981079099</v>
      </c>
      <c r="D14" s="1">
        <v>4.13792133331298E-2</v>
      </c>
      <c r="E14" s="1">
        <v>0.20831179618835399</v>
      </c>
      <c r="F14">
        <v>13848</v>
      </c>
      <c r="H14">
        <v>64</v>
      </c>
      <c r="I14" s="1">
        <v>7.4325051307678196</v>
      </c>
      <c r="J14" s="1">
        <v>4.3747179508209202</v>
      </c>
      <c r="K14" s="1">
        <v>1.0423560142517001</v>
      </c>
      <c r="L14">
        <v>317001</v>
      </c>
      <c r="M14" s="2"/>
      <c r="N14" s="2">
        <v>12</v>
      </c>
      <c r="O14" s="1">
        <v>0.52679395675659102</v>
      </c>
      <c r="P14" s="1">
        <v>2.9620299339294398</v>
      </c>
      <c r="Q14" s="1">
        <v>9.1546773910522405E-2</v>
      </c>
      <c r="R14">
        <v>50938</v>
      </c>
    </row>
    <row r="15" spans="2:18" x14ac:dyDescent="0.2">
      <c r="B15">
        <v>13</v>
      </c>
      <c r="C15" s="1">
        <v>1.03549528121948</v>
      </c>
      <c r="D15" s="1">
        <v>0.39399123191833402</v>
      </c>
      <c r="E15" s="1">
        <v>0.145172834396362</v>
      </c>
      <c r="F15">
        <v>115850</v>
      </c>
      <c r="H15">
        <v>59</v>
      </c>
      <c r="I15" s="1">
        <v>8.6656148433685303</v>
      </c>
      <c r="J15" s="1">
        <v>4.3464701175689697</v>
      </c>
      <c r="K15" s="1">
        <v>1.8687150478362999</v>
      </c>
      <c r="L15">
        <v>60202</v>
      </c>
      <c r="M15" s="2"/>
      <c r="N15" s="2">
        <v>13</v>
      </c>
      <c r="O15" s="1">
        <v>1.43424987792968</v>
      </c>
      <c r="P15" s="1">
        <v>3.2861659526824898</v>
      </c>
      <c r="Q15" s="1">
        <v>0.42195296287536599</v>
      </c>
      <c r="R15">
        <v>93048</v>
      </c>
    </row>
    <row r="16" spans="2:18" x14ac:dyDescent="0.2">
      <c r="B16">
        <v>14</v>
      </c>
      <c r="C16" s="1">
        <v>5.7957172393798802E-3</v>
      </c>
      <c r="D16" s="1">
        <v>0.14272618293762199</v>
      </c>
      <c r="E16" s="1">
        <v>0.15129804611205999</v>
      </c>
      <c r="F16">
        <v>502</v>
      </c>
      <c r="H16">
        <v>44</v>
      </c>
      <c r="I16" s="1">
        <v>7.7787671089172301</v>
      </c>
      <c r="J16" s="1">
        <v>4.1447620391845703</v>
      </c>
      <c r="K16" s="1">
        <v>1.0418670177459699</v>
      </c>
      <c r="L16">
        <v>394783</v>
      </c>
      <c r="M16" s="2"/>
      <c r="N16" s="2">
        <v>14</v>
      </c>
      <c r="O16" s="1">
        <v>3.4142889976501398</v>
      </c>
      <c r="P16" s="1">
        <v>8.1593270301818794</v>
      </c>
      <c r="Q16" s="1">
        <v>0.42259883880615201</v>
      </c>
      <c r="R16">
        <v>276012</v>
      </c>
    </row>
    <row r="17" spans="2:18" x14ac:dyDescent="0.2">
      <c r="B17">
        <v>15</v>
      </c>
      <c r="C17" s="1">
        <v>9.1135978698730399E-2</v>
      </c>
      <c r="D17" s="1">
        <v>9.6304178237914997E-2</v>
      </c>
      <c r="E17" s="1">
        <v>0.18373489379882799</v>
      </c>
      <c r="F17">
        <v>9848</v>
      </c>
      <c r="H17">
        <v>57</v>
      </c>
      <c r="I17" s="1">
        <v>2.02232670783996</v>
      </c>
      <c r="J17" s="1">
        <v>3.7447690963745099</v>
      </c>
      <c r="K17" s="1">
        <v>0.30447483062744102</v>
      </c>
      <c r="L17">
        <v>57722</v>
      </c>
      <c r="M17" s="2"/>
      <c r="N17" s="2">
        <v>15</v>
      </c>
      <c r="O17" s="1">
        <v>1.0818569660186701</v>
      </c>
      <c r="P17" s="1">
        <v>16.499338865280102</v>
      </c>
      <c r="Q17" s="1">
        <v>0.366708993911743</v>
      </c>
      <c r="R17">
        <v>70534</v>
      </c>
    </row>
    <row r="18" spans="2:18" x14ac:dyDescent="0.2">
      <c r="B18">
        <v>16</v>
      </c>
      <c r="C18" s="1">
        <v>3.40139865875244E-2</v>
      </c>
      <c r="D18" s="1">
        <v>0.12650704383850001</v>
      </c>
      <c r="E18" s="1">
        <v>0.17092704772949199</v>
      </c>
      <c r="F18">
        <v>3886</v>
      </c>
      <c r="H18">
        <v>35</v>
      </c>
      <c r="I18" s="1">
        <v>8.8277449607849103</v>
      </c>
      <c r="J18" s="1">
        <v>3.5714898109436</v>
      </c>
      <c r="K18" s="1">
        <v>1.14458799362182</v>
      </c>
      <c r="L18">
        <v>352084</v>
      </c>
      <c r="M18" s="2"/>
      <c r="N18" s="2">
        <v>16</v>
      </c>
      <c r="O18" s="1">
        <v>2.3211760520935001</v>
      </c>
      <c r="P18" s="1">
        <v>10.307056188583299</v>
      </c>
      <c r="Q18" s="1">
        <v>0.58157992362975997</v>
      </c>
      <c r="R18">
        <v>173792</v>
      </c>
    </row>
    <row r="19" spans="2:18" x14ac:dyDescent="0.2">
      <c r="B19">
        <v>17</v>
      </c>
      <c r="C19" s="1">
        <v>0.122503757476806</v>
      </c>
      <c r="D19" s="1">
        <v>0.181038618087768</v>
      </c>
      <c r="E19" s="1">
        <v>0.16166591644287101</v>
      </c>
      <c r="F19">
        <v>11734</v>
      </c>
      <c r="H19">
        <v>23</v>
      </c>
      <c r="I19" s="1">
        <v>0.58479619026184004</v>
      </c>
      <c r="J19" s="1">
        <v>3.3832981586456299</v>
      </c>
      <c r="K19" s="1">
        <v>0.52265691757202104</v>
      </c>
      <c r="L19">
        <v>105555</v>
      </c>
      <c r="M19" s="2"/>
      <c r="N19" s="2">
        <v>17</v>
      </c>
      <c r="O19" s="1">
        <v>2.9919850826263401</v>
      </c>
      <c r="P19" s="1">
        <v>15.0448682308197</v>
      </c>
      <c r="Q19" s="1">
        <v>1.3488509654998699</v>
      </c>
      <c r="R19">
        <v>177369</v>
      </c>
    </row>
    <row r="20" spans="2:18" x14ac:dyDescent="0.2">
      <c r="B20">
        <v>18</v>
      </c>
      <c r="C20" s="1">
        <v>0.63119482994079501</v>
      </c>
      <c r="D20" s="1">
        <v>2.0714998245239199E-2</v>
      </c>
      <c r="E20" s="1">
        <v>0.190129995346069</v>
      </c>
      <c r="F20">
        <v>64112</v>
      </c>
      <c r="H20">
        <v>73</v>
      </c>
      <c r="I20" s="1">
        <v>3.85398125648498</v>
      </c>
      <c r="J20" s="1">
        <v>2.98767685890197</v>
      </c>
      <c r="K20" s="1">
        <v>0.63775992393493597</v>
      </c>
      <c r="L20">
        <v>795541</v>
      </c>
      <c r="M20" s="2"/>
      <c r="N20" s="2">
        <v>18</v>
      </c>
      <c r="O20" s="1">
        <v>4.2117111682891801</v>
      </c>
      <c r="P20" s="1">
        <v>5.7292590141296298</v>
      </c>
      <c r="Q20" s="1">
        <v>2.2807250022888099</v>
      </c>
      <c r="R20">
        <v>194648</v>
      </c>
    </row>
    <row r="21" spans="2:18" x14ac:dyDescent="0.2">
      <c r="B21">
        <v>19</v>
      </c>
      <c r="C21" s="1">
        <v>1.0542531013488701</v>
      </c>
      <c r="D21" s="1">
        <v>0.11395311355590799</v>
      </c>
      <c r="E21" s="1">
        <v>0.22114610671997001</v>
      </c>
      <c r="F21">
        <v>117636</v>
      </c>
      <c r="H21">
        <v>63</v>
      </c>
      <c r="I21" s="1">
        <v>5.5936720371246302</v>
      </c>
      <c r="J21" s="1">
        <v>2.5780222415924001</v>
      </c>
      <c r="K21" s="1">
        <v>0.227314949035644</v>
      </c>
      <c r="L21">
        <v>16064</v>
      </c>
      <c r="M21" s="2"/>
      <c r="N21" s="2">
        <v>19</v>
      </c>
      <c r="O21" s="1">
        <v>6.5618557929992596</v>
      </c>
      <c r="P21" s="1">
        <v>37.111041069030698</v>
      </c>
      <c r="Q21" s="1">
        <v>0.66570186614990201</v>
      </c>
      <c r="R21">
        <v>579110</v>
      </c>
    </row>
    <row r="22" spans="2:18" x14ac:dyDescent="0.2">
      <c r="B22">
        <v>20</v>
      </c>
      <c r="C22" s="1">
        <v>1.3285837173461901</v>
      </c>
      <c r="D22" s="1">
        <v>0.337955951690673</v>
      </c>
      <c r="E22" s="1">
        <v>0.19766092300415</v>
      </c>
      <c r="F22">
        <v>137792</v>
      </c>
      <c r="H22">
        <v>16</v>
      </c>
      <c r="I22" s="1">
        <v>3.6517651081085201</v>
      </c>
      <c r="J22" s="1">
        <v>2.4672570228576598</v>
      </c>
      <c r="K22" s="1">
        <v>0.262370824813842</v>
      </c>
      <c r="L22">
        <v>672654</v>
      </c>
      <c r="M22" s="2"/>
      <c r="N22" s="2">
        <v>20</v>
      </c>
      <c r="O22" s="1">
        <v>1.65248274803161</v>
      </c>
      <c r="P22" s="1">
        <v>23.3695418834686</v>
      </c>
      <c r="Q22" s="1">
        <v>0.66992902755737305</v>
      </c>
      <c r="R22">
        <v>90681</v>
      </c>
    </row>
    <row r="23" spans="2:18" x14ac:dyDescent="0.2">
      <c r="B23">
        <v>21</v>
      </c>
      <c r="C23" s="1">
        <v>0.15177106857299799</v>
      </c>
      <c r="D23" s="1">
        <v>6.0479640960693299E-3</v>
      </c>
      <c r="E23" s="1">
        <v>0.23180580139160101</v>
      </c>
      <c r="F23">
        <v>14831</v>
      </c>
      <c r="H23">
        <v>6</v>
      </c>
      <c r="I23" s="1">
        <v>5.6195430755615199</v>
      </c>
      <c r="J23" s="1">
        <v>1.9506471157073899</v>
      </c>
      <c r="K23" s="1">
        <v>0.33943200111389099</v>
      </c>
      <c r="L23">
        <v>467639</v>
      </c>
      <c r="M23" s="2"/>
      <c r="N23" s="2">
        <v>21</v>
      </c>
      <c r="O23" s="1">
        <v>8.7558536529540998</v>
      </c>
      <c r="P23" s="1">
        <v>5.1059770584106401</v>
      </c>
      <c r="Q23" s="1">
        <v>1.75356221199035</v>
      </c>
      <c r="R23">
        <v>693900</v>
      </c>
    </row>
    <row r="24" spans="2:18" x14ac:dyDescent="0.2">
      <c r="B24">
        <v>22</v>
      </c>
      <c r="C24" s="1">
        <v>3.83637475967407</v>
      </c>
      <c r="D24" s="1">
        <v>0.34418797492980902</v>
      </c>
      <c r="E24" s="1">
        <v>0.19895005226135201</v>
      </c>
      <c r="F24">
        <v>418612</v>
      </c>
      <c r="H24">
        <v>91</v>
      </c>
      <c r="I24" s="1">
        <v>0.41013193130493097</v>
      </c>
      <c r="J24" s="1">
        <v>1.77042508125305</v>
      </c>
      <c r="K24" s="1">
        <v>0.20501804351806599</v>
      </c>
      <c r="L24">
        <v>381385</v>
      </c>
      <c r="M24" s="2"/>
      <c r="N24" s="2">
        <v>22</v>
      </c>
      <c r="O24" s="1">
        <v>7.6637880802154497</v>
      </c>
      <c r="P24" s="1">
        <v>76.131376981735201</v>
      </c>
      <c r="Q24" s="1">
        <v>1.3181011676788299</v>
      </c>
      <c r="R24">
        <v>610230</v>
      </c>
    </row>
    <row r="25" spans="2:18" x14ac:dyDescent="0.2">
      <c r="B25">
        <v>23</v>
      </c>
      <c r="C25" s="1">
        <v>0.494976997375488</v>
      </c>
      <c r="D25" s="1">
        <v>3.3986806869506801E-2</v>
      </c>
      <c r="E25" s="1">
        <v>0.172160148620605</v>
      </c>
      <c r="F25">
        <v>43320</v>
      </c>
      <c r="H25">
        <v>47</v>
      </c>
      <c r="I25" s="1">
        <v>0.61340904235839799</v>
      </c>
      <c r="J25" s="1">
        <v>1.713063955307</v>
      </c>
      <c r="K25" s="1">
        <v>0.15836024284362701</v>
      </c>
      <c r="L25">
        <v>20758</v>
      </c>
      <c r="M25" s="2"/>
      <c r="N25" s="2">
        <v>23</v>
      </c>
      <c r="O25" s="1">
        <v>4.7918038368225098</v>
      </c>
      <c r="P25" s="1">
        <v>27.7528269290924</v>
      </c>
      <c r="Q25" s="1">
        <v>1.0368309020996</v>
      </c>
      <c r="R25">
        <v>371680</v>
      </c>
    </row>
    <row r="26" spans="2:18" x14ac:dyDescent="0.2">
      <c r="B26">
        <v>24</v>
      </c>
      <c r="C26" s="1">
        <v>2.8973572254180899</v>
      </c>
      <c r="D26" s="1">
        <v>0.36358308792114202</v>
      </c>
      <c r="E26" s="1">
        <v>0.24401116371154699</v>
      </c>
      <c r="F26">
        <v>289549</v>
      </c>
      <c r="H26">
        <v>60</v>
      </c>
      <c r="I26" s="1">
        <v>0.32797193527221602</v>
      </c>
      <c r="J26" s="1">
        <v>1.4960122108459399</v>
      </c>
      <c r="K26" s="1">
        <v>0.21481490135192799</v>
      </c>
      <c r="L26">
        <v>481849</v>
      </c>
      <c r="M26" s="2"/>
      <c r="N26" s="2">
        <v>24</v>
      </c>
      <c r="O26" s="1">
        <v>0.20902204513549799</v>
      </c>
      <c r="P26" s="1">
        <v>2.4773657321929901</v>
      </c>
      <c r="Q26" s="1">
        <v>0.15539884567260701</v>
      </c>
      <c r="R26">
        <v>19898</v>
      </c>
    </row>
    <row r="27" spans="2:18" x14ac:dyDescent="0.2">
      <c r="B27">
        <v>25</v>
      </c>
      <c r="C27" s="1">
        <v>2.2659990787506099</v>
      </c>
      <c r="D27" s="1">
        <v>0.100410223007202</v>
      </c>
      <c r="E27" s="1">
        <v>0.20485305786132799</v>
      </c>
      <c r="F27">
        <v>215003</v>
      </c>
      <c r="H27">
        <v>5</v>
      </c>
      <c r="I27" s="1">
        <v>6.7180817127227703</v>
      </c>
      <c r="J27" s="1">
        <v>1.4075968265533401</v>
      </c>
      <c r="K27" s="1">
        <v>0.35925626754760698</v>
      </c>
      <c r="L27">
        <v>13417</v>
      </c>
      <c r="M27" s="2"/>
      <c r="N27" s="2">
        <v>25</v>
      </c>
      <c r="O27" s="1">
        <v>1.52123498916625</v>
      </c>
      <c r="P27" s="1">
        <v>23.6348040103912</v>
      </c>
      <c r="Q27" s="1">
        <v>0.206671953201293</v>
      </c>
      <c r="R27">
        <v>146511</v>
      </c>
    </row>
    <row r="28" spans="2:18" x14ac:dyDescent="0.2">
      <c r="B28">
        <v>26</v>
      </c>
      <c r="C28" s="1">
        <v>6.3585410118103001</v>
      </c>
      <c r="D28" s="1">
        <v>0.165637731552124</v>
      </c>
      <c r="E28" s="1">
        <v>0.20235610008239699</v>
      </c>
      <c r="F28">
        <v>661375</v>
      </c>
      <c r="H28">
        <v>80</v>
      </c>
      <c r="I28" s="1">
        <v>0.55781292915344205</v>
      </c>
      <c r="J28" s="1">
        <v>1.3315172195434499</v>
      </c>
      <c r="K28" s="1">
        <v>0.14667963981628401</v>
      </c>
      <c r="L28">
        <v>40362</v>
      </c>
      <c r="M28" s="2"/>
      <c r="N28" s="2">
        <v>26</v>
      </c>
      <c r="O28" s="1">
        <v>7.1900219917297301</v>
      </c>
      <c r="P28" s="1">
        <v>2.2834339141845699</v>
      </c>
      <c r="Q28" s="1">
        <v>0.89146232604980402</v>
      </c>
      <c r="R28">
        <v>639197</v>
      </c>
    </row>
    <row r="29" spans="2:18" x14ac:dyDescent="0.2">
      <c r="B29">
        <v>27</v>
      </c>
      <c r="C29" s="1">
        <v>0.272648096084594</v>
      </c>
      <c r="D29" s="1">
        <v>0.20756506919860801</v>
      </c>
      <c r="E29" s="1">
        <v>0.18224215507507299</v>
      </c>
      <c r="F29">
        <v>27672</v>
      </c>
      <c r="H29">
        <v>36</v>
      </c>
      <c r="I29" s="1">
        <v>2.8732061386108398</v>
      </c>
      <c r="J29" s="1">
        <v>1.3153672218322701</v>
      </c>
      <c r="K29" s="1">
        <v>0.26184296607971103</v>
      </c>
      <c r="L29">
        <v>224725</v>
      </c>
      <c r="M29" s="2"/>
      <c r="N29" s="2">
        <v>27</v>
      </c>
      <c r="O29" s="1">
        <v>0.84957289695739702</v>
      </c>
      <c r="P29" s="1">
        <v>0.40564918518066401</v>
      </c>
      <c r="Q29" s="1">
        <v>0.223978996276855</v>
      </c>
      <c r="R29">
        <v>68829</v>
      </c>
    </row>
    <row r="30" spans="2:18" x14ac:dyDescent="0.2">
      <c r="B30">
        <v>28</v>
      </c>
      <c r="C30" s="1">
        <v>1.3359348773956199</v>
      </c>
      <c r="D30" s="1">
        <v>1.1749267578125E-2</v>
      </c>
      <c r="E30" s="1">
        <v>0.18911218643188399</v>
      </c>
      <c r="F30">
        <v>148645</v>
      </c>
      <c r="H30">
        <v>31</v>
      </c>
      <c r="I30" s="1">
        <v>3.7193307876586901</v>
      </c>
      <c r="J30" s="1">
        <v>1.2717916965484599</v>
      </c>
      <c r="K30" s="1">
        <v>0.248635053634643</v>
      </c>
      <c r="L30">
        <v>740</v>
      </c>
      <c r="M30" s="2"/>
      <c r="N30" s="2">
        <v>28</v>
      </c>
      <c r="O30" s="1">
        <v>7.32171177864074</v>
      </c>
      <c r="P30" s="1">
        <v>9.4609711170196498</v>
      </c>
      <c r="Q30" s="1">
        <v>3.61406326293945</v>
      </c>
      <c r="R30">
        <v>357461</v>
      </c>
    </row>
    <row r="31" spans="2:18" x14ac:dyDescent="0.2">
      <c r="B31">
        <v>29</v>
      </c>
      <c r="C31" s="1">
        <v>0.49271297454833901</v>
      </c>
      <c r="D31" s="1">
        <v>0.43521380424499501</v>
      </c>
      <c r="E31" s="1">
        <v>0.271059989929199</v>
      </c>
      <c r="F31">
        <v>42450</v>
      </c>
      <c r="H31">
        <v>22</v>
      </c>
      <c r="I31" s="1">
        <v>3.48941826820373</v>
      </c>
      <c r="J31" s="1">
        <v>1.2615618705749501</v>
      </c>
      <c r="K31" s="1">
        <v>0.165396928787231</v>
      </c>
      <c r="L31">
        <v>43925</v>
      </c>
      <c r="M31" s="2"/>
      <c r="N31" s="2">
        <v>29</v>
      </c>
      <c r="O31" s="1">
        <v>0.42121815681457497</v>
      </c>
      <c r="P31" s="1">
        <v>14.309135913848801</v>
      </c>
      <c r="Q31" s="1">
        <v>0.22341680526733301</v>
      </c>
      <c r="R31">
        <v>25792</v>
      </c>
    </row>
    <row r="32" spans="2:18" x14ac:dyDescent="0.2">
      <c r="B32">
        <v>30</v>
      </c>
      <c r="C32" s="1">
        <v>0.440186977386474</v>
      </c>
      <c r="D32" s="1">
        <v>0.227792263031005</v>
      </c>
      <c r="E32" s="1">
        <v>0.136441946029663</v>
      </c>
      <c r="F32">
        <v>43691</v>
      </c>
      <c r="H32">
        <v>43</v>
      </c>
      <c r="I32" s="1">
        <v>5.3327088356018004</v>
      </c>
      <c r="J32" s="1">
        <v>1.1927061080932599</v>
      </c>
      <c r="K32" s="1">
        <v>0.22998499870300201</v>
      </c>
      <c r="L32">
        <v>90990</v>
      </c>
      <c r="M32" s="2"/>
      <c r="N32" s="2">
        <v>30</v>
      </c>
      <c r="O32" s="1">
        <v>7.7434041500091499</v>
      </c>
      <c r="P32" s="1">
        <v>57.923951148986802</v>
      </c>
      <c r="Q32" s="1">
        <v>2.8037183284759499</v>
      </c>
      <c r="R32">
        <v>525934</v>
      </c>
    </row>
    <row r="33" spans="2:18" x14ac:dyDescent="0.2">
      <c r="B33">
        <v>31</v>
      </c>
      <c r="C33" s="1">
        <v>1.81693911552429</v>
      </c>
      <c r="D33" s="1">
        <v>0.15371584892272899</v>
      </c>
      <c r="E33" s="1">
        <v>0.220844030380249</v>
      </c>
      <c r="F33">
        <v>192752</v>
      </c>
      <c r="H33">
        <v>62</v>
      </c>
      <c r="I33" s="1">
        <v>0.87315201759338301</v>
      </c>
      <c r="J33" s="1">
        <v>1.1650428771972601</v>
      </c>
      <c r="K33" s="1">
        <v>0.14233088493347101</v>
      </c>
      <c r="L33">
        <v>358228</v>
      </c>
      <c r="M33" s="2"/>
      <c r="N33" s="2">
        <v>31</v>
      </c>
      <c r="O33" s="1">
        <v>5.9513559341430602</v>
      </c>
      <c r="P33" s="1">
        <v>5.7116661071777299</v>
      </c>
      <c r="Q33" s="1">
        <v>1.18373179435729</v>
      </c>
      <c r="R33">
        <v>560150</v>
      </c>
    </row>
    <row r="34" spans="2:18" x14ac:dyDescent="0.2">
      <c r="B34">
        <v>32</v>
      </c>
      <c r="C34" s="1">
        <v>9.5544099807739202E-2</v>
      </c>
      <c r="D34" s="1">
        <v>9.9097013473510701E-2</v>
      </c>
      <c r="E34" s="1">
        <v>0.162533044815063</v>
      </c>
      <c r="F34">
        <v>9462</v>
      </c>
      <c r="H34">
        <v>75</v>
      </c>
      <c r="I34" s="1">
        <v>0.607019662857055</v>
      </c>
      <c r="J34" s="1">
        <v>1.15727710723876</v>
      </c>
      <c r="K34" s="1">
        <v>0.154348134994506</v>
      </c>
      <c r="L34">
        <v>40405</v>
      </c>
      <c r="M34" s="2"/>
      <c r="N34" s="2">
        <v>32</v>
      </c>
      <c r="O34" s="1">
        <v>3.3619809150695801</v>
      </c>
      <c r="P34" s="1">
        <v>7.85804986953735</v>
      </c>
      <c r="Q34" s="1">
        <v>2.1389501094818102</v>
      </c>
      <c r="R34">
        <v>149010</v>
      </c>
    </row>
    <row r="35" spans="2:18" x14ac:dyDescent="0.2">
      <c r="B35">
        <v>33</v>
      </c>
      <c r="C35" s="1">
        <v>6.17342185974121</v>
      </c>
      <c r="D35" s="1">
        <v>0.165482997894287</v>
      </c>
      <c r="E35" s="1">
        <v>0.19661808013915999</v>
      </c>
      <c r="F35">
        <v>661375</v>
      </c>
      <c r="H35">
        <v>67</v>
      </c>
      <c r="I35" s="1">
        <v>9.0804507732391304</v>
      </c>
      <c r="J35" s="1">
        <v>1.1453881263732899</v>
      </c>
      <c r="K35" s="1">
        <v>0.31372714042663502</v>
      </c>
      <c r="L35">
        <v>389478</v>
      </c>
      <c r="M35" s="2"/>
      <c r="N35" s="2">
        <v>33</v>
      </c>
      <c r="O35" s="1">
        <v>4.44781494140625</v>
      </c>
      <c r="P35" s="1">
        <v>1.24950003623962</v>
      </c>
      <c r="Q35" s="1">
        <v>0.51660394668579102</v>
      </c>
      <c r="R35">
        <v>354487</v>
      </c>
    </row>
    <row r="36" spans="2:18" x14ac:dyDescent="0.2">
      <c r="B36">
        <v>34</v>
      </c>
      <c r="C36" s="1">
        <v>0.18150305747985801</v>
      </c>
      <c r="D36" s="1">
        <v>0.108645677566528</v>
      </c>
      <c r="E36" s="1">
        <v>0.17482089996337799</v>
      </c>
      <c r="F36">
        <v>14955</v>
      </c>
      <c r="H36">
        <v>66</v>
      </c>
      <c r="I36" s="1">
        <v>1.1419529914855899</v>
      </c>
      <c r="J36" s="1">
        <v>1.07272028923034</v>
      </c>
      <c r="K36" s="1">
        <v>0.40062594413757302</v>
      </c>
      <c r="L36">
        <v>740</v>
      </c>
      <c r="M36" s="2"/>
      <c r="N36" s="2">
        <v>34</v>
      </c>
      <c r="O36" s="1">
        <v>0.17048907279968201</v>
      </c>
      <c r="P36" s="1">
        <v>16.207857131958001</v>
      </c>
      <c r="Q36" s="1">
        <v>0.113606929779052</v>
      </c>
      <c r="R36">
        <v>15154</v>
      </c>
    </row>
    <row r="37" spans="2:18" x14ac:dyDescent="0.2">
      <c r="B37">
        <v>35</v>
      </c>
      <c r="C37" s="1">
        <v>2.7217841148376398</v>
      </c>
      <c r="D37" s="1">
        <v>0.121549129486083</v>
      </c>
      <c r="E37" s="1">
        <v>0.19883704185485801</v>
      </c>
      <c r="F37">
        <v>279855</v>
      </c>
      <c r="H37">
        <v>71</v>
      </c>
      <c r="I37" s="1">
        <v>0.28522109985351501</v>
      </c>
      <c r="J37" s="1">
        <v>1.0297348499298</v>
      </c>
      <c r="K37" s="1">
        <v>0.157762050628662</v>
      </c>
      <c r="L37">
        <v>829945</v>
      </c>
      <c r="M37" s="2"/>
      <c r="N37" s="2">
        <v>35</v>
      </c>
      <c r="O37" s="1">
        <v>4.4224700927734304</v>
      </c>
      <c r="P37" s="1">
        <v>160.01235198974601</v>
      </c>
      <c r="Q37" s="1">
        <v>0.93071889877319303</v>
      </c>
      <c r="R37">
        <v>368964</v>
      </c>
    </row>
    <row r="38" spans="2:18" x14ac:dyDescent="0.2">
      <c r="B38">
        <v>36</v>
      </c>
      <c r="C38" s="1">
        <v>0.58405208587646396</v>
      </c>
      <c r="D38" s="1">
        <v>8.0441951751708901E-2</v>
      </c>
      <c r="E38" s="1">
        <v>0.23981285095214799</v>
      </c>
      <c r="F38">
        <v>61842</v>
      </c>
      <c r="H38">
        <v>18</v>
      </c>
      <c r="I38" s="1">
        <v>8.0352280139923096</v>
      </c>
      <c r="J38" s="1">
        <v>1.01363897323608</v>
      </c>
      <c r="K38" s="1">
        <v>0.75472998619079501</v>
      </c>
      <c r="L38">
        <v>286438</v>
      </c>
      <c r="M38" s="2"/>
      <c r="N38" s="2">
        <v>36</v>
      </c>
      <c r="O38" s="1">
        <v>6.4122498035430899</v>
      </c>
      <c r="P38" s="1">
        <v>29.034657001495301</v>
      </c>
      <c r="Q38" s="1">
        <v>2.92111015319824</v>
      </c>
      <c r="R38">
        <v>298894</v>
      </c>
    </row>
    <row r="39" spans="2:18" x14ac:dyDescent="0.2">
      <c r="B39">
        <v>37</v>
      </c>
      <c r="C39" s="1">
        <v>0.104676961898803</v>
      </c>
      <c r="D39" s="1">
        <v>4.2040824890136698E-2</v>
      </c>
      <c r="E39" s="1">
        <v>0.161822319030761</v>
      </c>
      <c r="F39">
        <v>9049</v>
      </c>
      <c r="H39">
        <v>96</v>
      </c>
      <c r="I39" s="1">
        <v>1.78020024299621</v>
      </c>
      <c r="J39" s="1">
        <v>0.85271716117858798</v>
      </c>
      <c r="K39" s="1">
        <v>0.33234715461730902</v>
      </c>
      <c r="L39">
        <v>50877</v>
      </c>
      <c r="M39" s="2"/>
      <c r="N39" s="2">
        <v>37</v>
      </c>
      <c r="O39" s="1">
        <v>3.3301980495452801</v>
      </c>
      <c r="P39" s="1">
        <v>4.9415972232818604</v>
      </c>
      <c r="Q39" s="1">
        <v>0.43292307853698703</v>
      </c>
      <c r="R39">
        <v>282442</v>
      </c>
    </row>
    <row r="40" spans="2:18" x14ac:dyDescent="0.2">
      <c r="B40">
        <v>38</v>
      </c>
      <c r="C40" s="1">
        <v>0.281193017959594</v>
      </c>
      <c r="D40" s="1">
        <v>2.8999805450439401E-2</v>
      </c>
      <c r="E40" s="1">
        <v>0.21580266952514601</v>
      </c>
      <c r="F40">
        <v>29554</v>
      </c>
      <c r="H40">
        <v>68</v>
      </c>
      <c r="I40" s="1">
        <v>0.12798070907592701</v>
      </c>
      <c r="J40" s="1">
        <v>0.847254037857055</v>
      </c>
      <c r="K40" s="1">
        <v>0.12250089645385701</v>
      </c>
      <c r="L40">
        <v>190362</v>
      </c>
      <c r="M40" s="2"/>
      <c r="N40" s="2">
        <v>38</v>
      </c>
      <c r="O40" s="1">
        <v>6.06854224205017</v>
      </c>
      <c r="P40" s="1">
        <v>7.9003651142120299</v>
      </c>
      <c r="Q40" s="1">
        <v>1.4960801601409901</v>
      </c>
      <c r="R40">
        <v>455411</v>
      </c>
    </row>
    <row r="41" spans="2:18" x14ac:dyDescent="0.2">
      <c r="B41">
        <v>39</v>
      </c>
      <c r="C41" s="1">
        <v>5.8268468379974303</v>
      </c>
      <c r="D41" s="1">
        <v>6.79779052734375E-2</v>
      </c>
      <c r="E41" s="1">
        <v>0.26912593841552701</v>
      </c>
      <c r="F41">
        <v>552579</v>
      </c>
      <c r="H41">
        <v>27</v>
      </c>
      <c r="I41" s="1">
        <v>2.2817752361297599</v>
      </c>
      <c r="J41" s="1">
        <v>0.81728076934814398</v>
      </c>
      <c r="K41" s="1">
        <v>0.14544796943664501</v>
      </c>
      <c r="L41">
        <v>27230</v>
      </c>
      <c r="M41" s="2"/>
      <c r="N41" s="2">
        <v>39</v>
      </c>
      <c r="O41" s="1">
        <v>8.4089860916137695</v>
      </c>
      <c r="P41" s="1">
        <v>24.413677692413302</v>
      </c>
      <c r="Q41" s="1">
        <v>2.2639250755310001</v>
      </c>
      <c r="R41">
        <v>606574</v>
      </c>
    </row>
    <row r="42" spans="2:18" x14ac:dyDescent="0.2">
      <c r="B42">
        <v>40</v>
      </c>
      <c r="C42" s="1">
        <v>1.8946828842162999</v>
      </c>
      <c r="D42" s="1">
        <v>0.49810218811035101</v>
      </c>
      <c r="E42" s="1">
        <v>0.29851698875427202</v>
      </c>
      <c r="F42">
        <v>187948</v>
      </c>
      <c r="H42">
        <v>33</v>
      </c>
      <c r="I42" s="1">
        <v>4.8370618820190403</v>
      </c>
      <c r="J42" s="1">
        <v>0.75809907913207997</v>
      </c>
      <c r="K42" s="1">
        <v>0.45605802536010698</v>
      </c>
      <c r="L42">
        <v>61656</v>
      </c>
      <c r="M42" s="2"/>
      <c r="N42" s="2">
        <v>40</v>
      </c>
      <c r="O42" s="1">
        <v>1.4803099632263099</v>
      </c>
      <c r="P42" s="1">
        <v>15.300424098968501</v>
      </c>
      <c r="Q42" s="1">
        <v>0.60647821426391602</v>
      </c>
      <c r="R42">
        <v>89013</v>
      </c>
    </row>
    <row r="43" spans="2:18" x14ac:dyDescent="0.2">
      <c r="B43">
        <v>41</v>
      </c>
      <c r="C43" s="1">
        <v>1.35798454284667E-2</v>
      </c>
      <c r="D43" s="1">
        <v>1.3870954513549799E-2</v>
      </c>
      <c r="E43" s="1">
        <v>0.17151594161987299</v>
      </c>
      <c r="F43">
        <v>573</v>
      </c>
      <c r="H43">
        <v>24</v>
      </c>
      <c r="I43" s="1">
        <v>5.4928920269012398</v>
      </c>
      <c r="J43" s="1">
        <v>0.75374412536621005</v>
      </c>
      <c r="K43" s="1">
        <v>0.79489517211913996</v>
      </c>
      <c r="L43">
        <v>225263</v>
      </c>
      <c r="M43" s="2"/>
      <c r="N43" s="2">
        <v>41</v>
      </c>
      <c r="O43" s="1">
        <v>8.5202600955963099</v>
      </c>
      <c r="P43" s="1">
        <v>3.65262699127197</v>
      </c>
      <c r="Q43" s="1">
        <v>0.60219883918762196</v>
      </c>
      <c r="R43">
        <v>846540</v>
      </c>
    </row>
    <row r="44" spans="2:18" x14ac:dyDescent="0.2">
      <c r="B44">
        <v>42</v>
      </c>
      <c r="C44" s="1">
        <v>0.184233903884887</v>
      </c>
      <c r="D44" s="1">
        <v>6.1547994613647398E-2</v>
      </c>
      <c r="E44" s="1">
        <v>0.15697669982910101</v>
      </c>
      <c r="F44">
        <v>20457</v>
      </c>
      <c r="H44">
        <v>4</v>
      </c>
      <c r="I44" s="1">
        <v>1.6979949474334699</v>
      </c>
      <c r="J44" s="1">
        <v>0.75189709663391102</v>
      </c>
      <c r="K44" s="1">
        <v>0.330554008483886</v>
      </c>
      <c r="L44">
        <v>835921</v>
      </c>
      <c r="M44" s="2"/>
      <c r="N44" s="2">
        <v>42</v>
      </c>
      <c r="O44" s="1">
        <v>5.5602600574493399</v>
      </c>
      <c r="P44" s="1">
        <v>1.7452471256256099</v>
      </c>
      <c r="Q44" s="1">
        <v>0.879719018936157</v>
      </c>
      <c r="R44">
        <v>499892</v>
      </c>
    </row>
    <row r="45" spans="2:18" x14ac:dyDescent="0.2">
      <c r="B45">
        <v>43</v>
      </c>
      <c r="C45" s="1">
        <v>0.103547096252441</v>
      </c>
      <c r="D45" s="1">
        <v>4.0434122085571199E-2</v>
      </c>
      <c r="E45" s="1">
        <v>0.15813827514648399</v>
      </c>
      <c r="F45">
        <v>9049</v>
      </c>
      <c r="H45">
        <v>25</v>
      </c>
      <c r="I45" s="1">
        <v>0.14625167846679599</v>
      </c>
      <c r="J45" s="1">
        <v>0.68274593353271396</v>
      </c>
      <c r="K45" s="1">
        <v>0.14214706420898399</v>
      </c>
      <c r="L45">
        <v>537692</v>
      </c>
      <c r="M45" s="2"/>
      <c r="N45" s="2">
        <v>43</v>
      </c>
      <c r="O45" s="1">
        <v>4.0848209857940603</v>
      </c>
      <c r="P45" s="1">
        <v>2.4942851066589302</v>
      </c>
      <c r="Q45" s="1">
        <v>1.56787204742431</v>
      </c>
      <c r="R45">
        <v>304433</v>
      </c>
    </row>
    <row r="46" spans="2:18" x14ac:dyDescent="0.2">
      <c r="B46">
        <v>44</v>
      </c>
      <c r="C46" s="1">
        <v>0.95273327827453602</v>
      </c>
      <c r="D46" s="1">
        <v>2.8418064117431599E-2</v>
      </c>
      <c r="E46" s="1">
        <v>0.199134826660156</v>
      </c>
      <c r="F46">
        <v>101728</v>
      </c>
      <c r="H46">
        <v>86</v>
      </c>
      <c r="I46" s="1">
        <v>2.9527008533477699</v>
      </c>
      <c r="J46" s="1">
        <v>0.67673683166503895</v>
      </c>
      <c r="K46" s="1">
        <v>0.19215488433837799</v>
      </c>
      <c r="L46">
        <v>644387</v>
      </c>
      <c r="M46" s="2"/>
      <c r="N46" s="2">
        <v>44</v>
      </c>
      <c r="O46" s="1">
        <v>0.60687518119812001</v>
      </c>
      <c r="P46" s="1">
        <v>0.54943490028381303</v>
      </c>
      <c r="Q46" s="1">
        <v>0.15891981124877899</v>
      </c>
      <c r="R46">
        <v>59466</v>
      </c>
    </row>
    <row r="47" spans="2:18" x14ac:dyDescent="0.2">
      <c r="B47">
        <v>45</v>
      </c>
      <c r="C47" s="1">
        <v>0.71391010284423795</v>
      </c>
      <c r="D47" s="1">
        <v>1.69920921325683E-2</v>
      </c>
      <c r="E47" s="1">
        <v>0.17713594436645499</v>
      </c>
      <c r="F47">
        <v>67431</v>
      </c>
      <c r="H47">
        <v>53</v>
      </c>
      <c r="I47" s="1">
        <v>0.35812878608703602</v>
      </c>
      <c r="J47" s="1">
        <v>0.64429903030395497</v>
      </c>
      <c r="K47" s="1">
        <v>0.19662594795227001</v>
      </c>
      <c r="L47">
        <v>67842</v>
      </c>
      <c r="M47" s="2"/>
      <c r="N47" s="2">
        <v>45</v>
      </c>
      <c r="O47" s="1">
        <v>4.8914122581481898</v>
      </c>
      <c r="P47" s="1">
        <v>121.65338897705</v>
      </c>
      <c r="Q47" s="1">
        <v>0.344089984893798</v>
      </c>
      <c r="R47">
        <v>454003</v>
      </c>
    </row>
    <row r="48" spans="2:18" x14ac:dyDescent="0.2">
      <c r="B48">
        <v>46</v>
      </c>
      <c r="C48" s="1">
        <v>0.80247497558593694</v>
      </c>
      <c r="D48" s="1">
        <v>2.06778049468994E-2</v>
      </c>
      <c r="E48" s="1">
        <v>0.264377832412719</v>
      </c>
      <c r="F48">
        <v>83899</v>
      </c>
      <c r="H48">
        <v>19</v>
      </c>
      <c r="I48" s="1">
        <v>0.17029404640197701</v>
      </c>
      <c r="J48" s="1">
        <v>0.64244699478149403</v>
      </c>
      <c r="K48" s="1">
        <v>0.13266301155090299</v>
      </c>
      <c r="L48">
        <v>568813</v>
      </c>
      <c r="M48" s="2"/>
      <c r="N48" s="2">
        <v>46</v>
      </c>
      <c r="O48" s="1">
        <v>2.4447758197784402</v>
      </c>
      <c r="P48" s="1">
        <v>6.0995910167694003</v>
      </c>
      <c r="Q48" s="1">
        <v>0.63286995887756303</v>
      </c>
      <c r="R48">
        <v>174116</v>
      </c>
    </row>
    <row r="49" spans="2:18" x14ac:dyDescent="0.2">
      <c r="B49">
        <v>47</v>
      </c>
      <c r="C49" s="1">
        <v>2.2511711120605402</v>
      </c>
      <c r="D49" s="1">
        <v>0.101561069488525</v>
      </c>
      <c r="E49" s="1">
        <v>0.21146512031555101</v>
      </c>
      <c r="F49">
        <v>215003</v>
      </c>
      <c r="H49">
        <v>85</v>
      </c>
      <c r="I49" s="1">
        <v>2.1118919849395699</v>
      </c>
      <c r="J49" s="1">
        <v>0.63895702362060502</v>
      </c>
      <c r="K49" s="1">
        <v>0.240009784698486</v>
      </c>
      <c r="L49">
        <v>60045</v>
      </c>
      <c r="M49" s="2"/>
      <c r="N49" s="2">
        <v>47</v>
      </c>
      <c r="O49" s="1">
        <v>7.4949610233306796</v>
      </c>
      <c r="P49" s="1">
        <v>0.90418004989624001</v>
      </c>
      <c r="Q49" s="1">
        <v>1.97281789779663</v>
      </c>
      <c r="R49">
        <v>590689</v>
      </c>
    </row>
    <row r="50" spans="2:18" x14ac:dyDescent="0.2">
      <c r="B50">
        <v>48</v>
      </c>
      <c r="C50" s="1">
        <v>3.6492681503295898</v>
      </c>
      <c r="D50" s="1">
        <v>0.20180487632751401</v>
      </c>
      <c r="E50" s="1">
        <v>0.19558191299438399</v>
      </c>
      <c r="F50">
        <v>429486</v>
      </c>
      <c r="H50">
        <v>20</v>
      </c>
      <c r="I50" s="1">
        <v>6.7049648761749197</v>
      </c>
      <c r="J50" s="1">
        <v>0.61384296417236295</v>
      </c>
      <c r="K50" s="1">
        <v>0.29303002357482899</v>
      </c>
      <c r="L50">
        <v>1230</v>
      </c>
      <c r="M50" s="2"/>
      <c r="N50" s="2">
        <v>48</v>
      </c>
      <c r="O50" s="1">
        <v>3.63789582252502</v>
      </c>
      <c r="P50" s="1">
        <v>0.34216022491455</v>
      </c>
      <c r="Q50" s="1">
        <v>0.327778100967407</v>
      </c>
      <c r="R50">
        <v>332554</v>
      </c>
    </row>
    <row r="51" spans="2:18" x14ac:dyDescent="0.2">
      <c r="B51">
        <v>49</v>
      </c>
      <c r="C51" s="1">
        <v>0.128162622451782</v>
      </c>
      <c r="D51" s="1">
        <v>7.6903820037841797E-2</v>
      </c>
      <c r="E51" s="1">
        <v>0.154361963272094</v>
      </c>
      <c r="F51">
        <v>14352</v>
      </c>
      <c r="H51">
        <v>28</v>
      </c>
      <c r="I51" s="1">
        <v>2.0488262176513599E-2</v>
      </c>
      <c r="J51" s="1">
        <v>0.59515213966369596</v>
      </c>
      <c r="K51" s="1">
        <v>0.119233846664428</v>
      </c>
      <c r="L51">
        <v>1689</v>
      </c>
      <c r="M51" s="2"/>
      <c r="N51" s="2">
        <v>49</v>
      </c>
      <c r="O51" s="1">
        <v>2.43980383872985</v>
      </c>
      <c r="P51" s="1">
        <v>50.586757898330603</v>
      </c>
      <c r="Q51" s="1">
        <v>0.27986788749694802</v>
      </c>
      <c r="R51">
        <v>213055</v>
      </c>
    </row>
    <row r="52" spans="2:18" x14ac:dyDescent="0.2">
      <c r="B52">
        <v>50</v>
      </c>
      <c r="C52" s="1">
        <v>8.3721160888671806E-2</v>
      </c>
      <c r="D52" s="1">
        <v>4.9988269805908203E-2</v>
      </c>
      <c r="E52" s="1">
        <v>0.17913293838500899</v>
      </c>
      <c r="F52">
        <v>6565</v>
      </c>
      <c r="H52">
        <v>34</v>
      </c>
      <c r="I52" s="1">
        <v>2.0922899246215799E-2</v>
      </c>
      <c r="J52" s="1">
        <v>0.59033203125</v>
      </c>
      <c r="K52" s="1">
        <v>0.121209144592285</v>
      </c>
      <c r="L52">
        <v>115237</v>
      </c>
      <c r="M52" s="2"/>
      <c r="N52" s="2">
        <v>50</v>
      </c>
      <c r="O52" s="1">
        <v>0.26657199859619102</v>
      </c>
      <c r="P52" s="1">
        <v>3.4451758861541699</v>
      </c>
      <c r="Q52" s="1">
        <v>0.22356295585632299</v>
      </c>
      <c r="R52">
        <v>11390</v>
      </c>
    </row>
    <row r="53" spans="2:18" x14ac:dyDescent="0.2">
      <c r="B53">
        <v>51</v>
      </c>
      <c r="C53" s="1">
        <v>2.0648999214172301</v>
      </c>
      <c r="D53" s="1">
        <v>0.15347194671630801</v>
      </c>
      <c r="E53" s="1">
        <v>0.25468921661376898</v>
      </c>
      <c r="F53">
        <v>194731</v>
      </c>
      <c r="H53">
        <v>29</v>
      </c>
      <c r="I53" s="1">
        <v>0.53697204589843694</v>
      </c>
      <c r="J53" s="1">
        <v>0.56813883781433105</v>
      </c>
      <c r="K53" s="1">
        <v>0.20422697067260701</v>
      </c>
      <c r="L53">
        <v>810215</v>
      </c>
      <c r="M53" s="2"/>
      <c r="N53" s="2">
        <v>51</v>
      </c>
      <c r="O53" s="1">
        <v>0.94718694686889604</v>
      </c>
      <c r="P53" s="1">
        <v>17.001533031463602</v>
      </c>
      <c r="Q53" s="1">
        <v>0.35363316535949701</v>
      </c>
      <c r="R53">
        <v>70534</v>
      </c>
    </row>
    <row r="54" spans="2:18" x14ac:dyDescent="0.2">
      <c r="B54">
        <v>52</v>
      </c>
      <c r="C54" s="1">
        <v>0.58478116989135698</v>
      </c>
      <c r="D54" s="1">
        <v>0.38571977615356401</v>
      </c>
      <c r="E54" s="1">
        <v>0.18141698837280201</v>
      </c>
      <c r="F54">
        <v>54404</v>
      </c>
      <c r="H54">
        <v>0</v>
      </c>
      <c r="I54" s="1">
        <v>0.53362488746643</v>
      </c>
      <c r="J54" s="1">
        <v>0.54218387603759699</v>
      </c>
      <c r="K54" s="1">
        <v>0.21850013732910101</v>
      </c>
      <c r="L54">
        <v>67842</v>
      </c>
      <c r="M54" s="2"/>
      <c r="N54" s="2">
        <v>52</v>
      </c>
      <c r="O54" s="1">
        <v>5.1505970954895002</v>
      </c>
      <c r="P54" s="1">
        <v>74.155246973037706</v>
      </c>
      <c r="Q54" s="1">
        <v>2.7041358947753902</v>
      </c>
      <c r="R54">
        <v>227611</v>
      </c>
    </row>
    <row r="55" spans="2:18" x14ac:dyDescent="0.2">
      <c r="B55">
        <v>53</v>
      </c>
      <c r="C55" s="1">
        <v>0.64195179939269997</v>
      </c>
      <c r="D55" s="1">
        <v>1.80280208587646E-2</v>
      </c>
      <c r="E55" s="1">
        <v>0.18611311912536599</v>
      </c>
      <c r="F55">
        <v>64112</v>
      </c>
      <c r="H55">
        <v>81</v>
      </c>
      <c r="I55" s="1">
        <v>2.5105950832366899</v>
      </c>
      <c r="J55" s="1">
        <v>0.53269386291503895</v>
      </c>
      <c r="K55" s="1">
        <v>0.388411045074462</v>
      </c>
      <c r="L55">
        <v>32352</v>
      </c>
      <c r="M55" s="2"/>
      <c r="N55" s="2">
        <v>53</v>
      </c>
      <c r="O55" s="1">
        <v>3.8413047790527302E-2</v>
      </c>
      <c r="P55" s="1">
        <v>0.32323193550109802</v>
      </c>
      <c r="Q55" s="1">
        <v>0.10439491271972599</v>
      </c>
      <c r="R55">
        <v>3346</v>
      </c>
    </row>
    <row r="56" spans="2:18" x14ac:dyDescent="0.2">
      <c r="B56">
        <v>54</v>
      </c>
      <c r="C56" s="1">
        <v>7.2483062744140597E-2</v>
      </c>
      <c r="D56" s="1">
        <v>2.6365995407104399E-2</v>
      </c>
      <c r="E56" s="1">
        <v>0.152275800704956</v>
      </c>
      <c r="F56">
        <v>7192</v>
      </c>
      <c r="H56">
        <v>74</v>
      </c>
      <c r="I56" s="1">
        <v>1.2059078216552701</v>
      </c>
      <c r="J56" s="1">
        <v>0.52107596397399902</v>
      </c>
      <c r="K56" s="1">
        <v>0.242542743682861</v>
      </c>
      <c r="L56">
        <v>101012</v>
      </c>
      <c r="M56" s="2"/>
      <c r="N56" s="2">
        <v>54</v>
      </c>
      <c r="O56" s="1">
        <v>7.2885050773620597</v>
      </c>
      <c r="P56" s="1">
        <v>150.344864845275</v>
      </c>
      <c r="Q56" s="1">
        <v>0.32408928871154702</v>
      </c>
      <c r="R56">
        <v>748009</v>
      </c>
    </row>
    <row r="57" spans="2:18" x14ac:dyDescent="0.2">
      <c r="B57">
        <v>55</v>
      </c>
      <c r="C57" s="1">
        <v>3.06933093070983</v>
      </c>
      <c r="D57" s="1">
        <v>0.23131585121154699</v>
      </c>
      <c r="E57" s="1">
        <v>0.22644686698913499</v>
      </c>
      <c r="F57">
        <v>312612</v>
      </c>
      <c r="H57">
        <v>88</v>
      </c>
      <c r="I57" s="1">
        <v>7.6753170490264804</v>
      </c>
      <c r="J57" s="1">
        <v>0.50042891502380304</v>
      </c>
      <c r="K57" s="1">
        <v>0.704329013824462</v>
      </c>
      <c r="L57">
        <v>332702</v>
      </c>
      <c r="M57" s="2"/>
      <c r="N57" s="2">
        <v>55</v>
      </c>
      <c r="O57" s="1">
        <v>1.16494417190551</v>
      </c>
      <c r="P57" s="1">
        <v>61.008630037307697</v>
      </c>
      <c r="Q57" s="1">
        <v>0.289991855621337</v>
      </c>
      <c r="R57">
        <v>86963</v>
      </c>
    </row>
    <row r="58" spans="2:18" x14ac:dyDescent="0.2">
      <c r="B58">
        <v>56</v>
      </c>
      <c r="C58" s="1">
        <v>6.0990719795226997</v>
      </c>
      <c r="D58" s="1">
        <v>0.16561388969421301</v>
      </c>
      <c r="E58" s="1">
        <v>0.201106071472167</v>
      </c>
      <c r="F58">
        <v>661375</v>
      </c>
      <c r="H58">
        <v>83</v>
      </c>
      <c r="I58" s="1">
        <v>0.67490720748901301</v>
      </c>
      <c r="J58" s="1">
        <v>0.48107409477233798</v>
      </c>
      <c r="K58" s="1">
        <v>0.20124387741088801</v>
      </c>
      <c r="L58">
        <v>137438</v>
      </c>
      <c r="M58" s="2"/>
      <c r="N58" s="2">
        <v>56</v>
      </c>
      <c r="O58" s="1">
        <v>6.4676880836486799</v>
      </c>
      <c r="P58" s="1">
        <v>149.492784023284</v>
      </c>
      <c r="Q58" s="1">
        <v>2.5571489334106401</v>
      </c>
      <c r="R58">
        <v>367815</v>
      </c>
    </row>
    <row r="59" spans="2:18" x14ac:dyDescent="0.2">
      <c r="B59">
        <v>57</v>
      </c>
      <c r="C59" s="1">
        <v>0.75923871994018499</v>
      </c>
      <c r="D59" s="1">
        <v>0.13715410232543901</v>
      </c>
      <c r="E59" s="1">
        <v>0.142521142959594</v>
      </c>
      <c r="F59">
        <v>78478</v>
      </c>
      <c r="H59">
        <v>37</v>
      </c>
      <c r="I59" s="1">
        <v>0.60406398773193304</v>
      </c>
      <c r="J59" s="1">
        <v>0.46792387962341297</v>
      </c>
      <c r="K59" s="1">
        <v>0.169613122940063</v>
      </c>
      <c r="L59">
        <v>192089</v>
      </c>
      <c r="M59" s="2"/>
      <c r="N59" s="2">
        <v>57</v>
      </c>
      <c r="O59" s="1">
        <v>7.5609948635101301</v>
      </c>
      <c r="P59" s="1">
        <v>35.188856601715003</v>
      </c>
      <c r="Q59" s="1">
        <v>0.57398390769958496</v>
      </c>
      <c r="R59">
        <v>675381</v>
      </c>
    </row>
    <row r="60" spans="2:18" x14ac:dyDescent="0.2">
      <c r="B60">
        <v>58</v>
      </c>
      <c r="C60" s="1">
        <v>1.43334507942199</v>
      </c>
      <c r="D60" s="1">
        <v>0.46149992942809998</v>
      </c>
      <c r="E60" s="1">
        <v>0.25608706474304199</v>
      </c>
      <c r="F60">
        <v>136725</v>
      </c>
      <c r="H60">
        <v>93</v>
      </c>
      <c r="I60" s="1">
        <v>5.3965461254119802</v>
      </c>
      <c r="J60" s="1">
        <v>0.46551489830017001</v>
      </c>
      <c r="K60" s="1">
        <v>0.15936303138732899</v>
      </c>
      <c r="L60">
        <v>118816</v>
      </c>
      <c r="M60" s="2"/>
      <c r="N60" s="2">
        <v>58</v>
      </c>
      <c r="O60" s="1">
        <v>5.7666878700256303</v>
      </c>
      <c r="P60" s="1">
        <v>4.9778258800506503</v>
      </c>
      <c r="Q60" s="1">
        <v>0.2497239112854</v>
      </c>
      <c r="R60">
        <v>581339</v>
      </c>
    </row>
    <row r="61" spans="2:18" x14ac:dyDescent="0.2">
      <c r="B61">
        <v>59</v>
      </c>
      <c r="C61" s="1">
        <v>0.27765202522277799</v>
      </c>
      <c r="D61" s="1">
        <v>2.9031038284301699E-2</v>
      </c>
      <c r="E61" s="1">
        <v>0.21049118041992099</v>
      </c>
      <c r="F61">
        <v>29554</v>
      </c>
      <c r="H61">
        <v>58</v>
      </c>
      <c r="I61" s="1">
        <v>1.29667496681213</v>
      </c>
      <c r="J61" s="1">
        <v>0.41157793998718201</v>
      </c>
      <c r="K61" s="1">
        <v>0.19024825096130299</v>
      </c>
      <c r="L61">
        <v>746950</v>
      </c>
      <c r="M61" s="2"/>
      <c r="N61" s="2">
        <v>59</v>
      </c>
      <c r="O61" s="1">
        <v>2.47808814048767</v>
      </c>
      <c r="P61" s="1">
        <v>13.994967937469401</v>
      </c>
      <c r="Q61" s="1">
        <v>0.26964616775512601</v>
      </c>
      <c r="R61">
        <v>244448</v>
      </c>
    </row>
    <row r="62" spans="2:18" x14ac:dyDescent="0.2">
      <c r="B62">
        <v>60</v>
      </c>
      <c r="C62" s="1">
        <v>0.48362994194030701</v>
      </c>
      <c r="D62" s="1">
        <v>3.8025140762329102E-2</v>
      </c>
      <c r="E62" s="1">
        <v>0.21188998222350999</v>
      </c>
      <c r="F62">
        <v>45666</v>
      </c>
      <c r="H62">
        <v>13</v>
      </c>
      <c r="I62" s="1">
        <v>0.558735132217407</v>
      </c>
      <c r="J62" s="1">
        <v>0.38635897636413502</v>
      </c>
      <c r="K62" s="1">
        <v>0.120954275131225</v>
      </c>
      <c r="L62">
        <v>26218</v>
      </c>
      <c r="M62" s="2"/>
      <c r="N62" s="2">
        <v>60</v>
      </c>
      <c r="O62" s="1">
        <v>3.6860942840576102E-2</v>
      </c>
      <c r="P62" s="1">
        <v>11.740715026855399</v>
      </c>
      <c r="Q62" s="1">
        <v>0.121736049652099</v>
      </c>
      <c r="R62">
        <v>2143</v>
      </c>
    </row>
    <row r="63" spans="2:18" x14ac:dyDescent="0.2">
      <c r="B63">
        <v>61</v>
      </c>
      <c r="C63" s="1">
        <v>2.65789294242858</v>
      </c>
      <c r="D63" s="1">
        <v>0.20245313644409099</v>
      </c>
      <c r="E63" s="1">
        <v>0.168894052505493</v>
      </c>
      <c r="F63">
        <v>303983</v>
      </c>
      <c r="H63">
        <v>54</v>
      </c>
      <c r="I63" s="1">
        <v>1.0100347995757999</v>
      </c>
      <c r="J63" s="1">
        <v>0.370790004730224</v>
      </c>
      <c r="K63" s="1">
        <v>0.17128229141235299</v>
      </c>
      <c r="L63">
        <v>2119</v>
      </c>
      <c r="M63" s="2"/>
      <c r="N63" s="2">
        <v>61</v>
      </c>
      <c r="O63" s="1">
        <v>1.8192489147186199</v>
      </c>
      <c r="P63" s="1">
        <v>1.05549311637878</v>
      </c>
      <c r="Q63" s="1">
        <v>0.164251089096069</v>
      </c>
      <c r="R63">
        <v>189636</v>
      </c>
    </row>
    <row r="64" spans="2:18" x14ac:dyDescent="0.2">
      <c r="B64">
        <v>62</v>
      </c>
      <c r="C64" s="1">
        <v>1.47240161895751E-2</v>
      </c>
      <c r="D64" s="1">
        <v>3.60529422760009E-2</v>
      </c>
      <c r="E64" s="1">
        <v>0.18155217170715299</v>
      </c>
      <c r="F64">
        <v>1280</v>
      </c>
      <c r="H64">
        <v>77</v>
      </c>
      <c r="I64" s="1">
        <v>0.98703694343566895</v>
      </c>
      <c r="J64" s="1">
        <v>0.37077808380126898</v>
      </c>
      <c r="K64" s="1">
        <v>0.20866489410400299</v>
      </c>
      <c r="L64">
        <v>87708</v>
      </c>
      <c r="M64" s="2"/>
      <c r="N64" s="2">
        <v>62</v>
      </c>
      <c r="O64" s="1">
        <v>1.41654777526855</v>
      </c>
      <c r="P64" s="1">
        <v>50.825502872466998</v>
      </c>
      <c r="Q64" s="1">
        <v>0.201411962509155</v>
      </c>
      <c r="R64">
        <v>119149</v>
      </c>
    </row>
    <row r="65" spans="2:18" x14ac:dyDescent="0.2">
      <c r="B65">
        <v>63</v>
      </c>
      <c r="C65" s="1">
        <v>0.177479028701782</v>
      </c>
      <c r="D65" s="1">
        <v>0.33927392959594699</v>
      </c>
      <c r="E65" s="1">
        <v>0.15064501762390101</v>
      </c>
      <c r="F65">
        <v>14973</v>
      </c>
      <c r="H65">
        <v>90</v>
      </c>
      <c r="I65" s="1">
        <v>0.91822910308837802</v>
      </c>
      <c r="J65" s="1">
        <v>0.32450509071350098</v>
      </c>
      <c r="K65" s="1">
        <v>0.144291162490844</v>
      </c>
      <c r="L65">
        <v>608345</v>
      </c>
      <c r="M65" s="2"/>
      <c r="N65" s="2">
        <v>63</v>
      </c>
      <c r="O65" s="1">
        <v>1.2767090797424301</v>
      </c>
      <c r="P65" s="1">
        <v>1.04997205734252</v>
      </c>
      <c r="Q65" s="1">
        <v>0.58518099784850997</v>
      </c>
      <c r="R65">
        <v>72937</v>
      </c>
    </row>
    <row r="66" spans="2:18" x14ac:dyDescent="0.2">
      <c r="B66">
        <v>64</v>
      </c>
      <c r="C66" s="1">
        <v>0.107167959213256</v>
      </c>
      <c r="D66" s="1">
        <v>9.7554206848144503E-2</v>
      </c>
      <c r="E66" s="1">
        <v>0.17786026000976499</v>
      </c>
      <c r="F66">
        <v>11838</v>
      </c>
      <c r="H66">
        <v>61</v>
      </c>
      <c r="I66" s="1">
        <v>2.6063919067382799E-2</v>
      </c>
      <c r="J66" s="1">
        <v>0.32432508468627902</v>
      </c>
      <c r="K66" s="1">
        <v>0.12977409362792899</v>
      </c>
      <c r="L66">
        <v>644387</v>
      </c>
      <c r="M66" s="2"/>
      <c r="N66" s="2">
        <v>64</v>
      </c>
      <c r="O66" s="1">
        <v>0.95431303977966297</v>
      </c>
      <c r="P66" s="1">
        <v>16.7730178833007</v>
      </c>
      <c r="Q66" s="1">
        <v>0.35181617736816401</v>
      </c>
      <c r="R66">
        <v>70534</v>
      </c>
    </row>
    <row r="67" spans="2:18" x14ac:dyDescent="0.2">
      <c r="B67">
        <v>65</v>
      </c>
      <c r="C67" s="1">
        <v>0.163088083267211</v>
      </c>
      <c r="D67" s="1">
        <v>0.19468522071838301</v>
      </c>
      <c r="E67" s="1">
        <v>0.201366186141967</v>
      </c>
      <c r="F67">
        <v>11030</v>
      </c>
      <c r="H67">
        <v>72</v>
      </c>
      <c r="I67" s="1">
        <v>4.38124680519104</v>
      </c>
      <c r="J67" s="1">
        <v>0.31657099723815901</v>
      </c>
      <c r="K67" s="1">
        <v>0.49737906455993602</v>
      </c>
      <c r="L67">
        <v>122123</v>
      </c>
      <c r="M67" s="2"/>
      <c r="N67" s="2">
        <v>65</v>
      </c>
      <c r="O67" s="1">
        <v>3.8331561088561998</v>
      </c>
      <c r="P67" s="1">
        <v>39.643333911895702</v>
      </c>
      <c r="Q67" s="1">
        <v>3.8061847686767498</v>
      </c>
      <c r="R67">
        <v>2088</v>
      </c>
    </row>
    <row r="68" spans="2:18" x14ac:dyDescent="0.2">
      <c r="B68">
        <v>66</v>
      </c>
      <c r="C68" s="1">
        <v>1.72209739685058E-2</v>
      </c>
      <c r="D68" s="1">
        <v>5.9899806976318297E-2</v>
      </c>
      <c r="E68" s="1">
        <v>0.17949914932250899</v>
      </c>
      <c r="F68">
        <v>1489</v>
      </c>
      <c r="H68">
        <v>46</v>
      </c>
      <c r="I68" s="1">
        <v>4.9733459949493399</v>
      </c>
      <c r="J68" s="1">
        <v>0.28744697570800698</v>
      </c>
      <c r="K68" s="1">
        <v>0.15458512306213301</v>
      </c>
      <c r="L68">
        <v>91801</v>
      </c>
      <c r="M68" s="2"/>
      <c r="N68" s="2">
        <v>66</v>
      </c>
      <c r="O68" s="1">
        <v>6.7201728820800701</v>
      </c>
      <c r="P68" s="1">
        <v>63.985011100769</v>
      </c>
      <c r="Q68" s="1">
        <v>0.19680285453796301</v>
      </c>
      <c r="R68">
        <v>624483</v>
      </c>
    </row>
    <row r="69" spans="2:18" x14ac:dyDescent="0.2">
      <c r="B69">
        <v>67</v>
      </c>
      <c r="C69" s="1">
        <v>4.4502973556518499E-2</v>
      </c>
      <c r="D69" s="1">
        <v>0.119471788406372</v>
      </c>
      <c r="E69" s="1">
        <v>0.15952110290527299</v>
      </c>
      <c r="F69">
        <v>3803</v>
      </c>
      <c r="H69">
        <v>45</v>
      </c>
      <c r="I69" s="1">
        <v>0.94976711273193304</v>
      </c>
      <c r="J69" s="1">
        <v>0.27606225013732899</v>
      </c>
      <c r="K69" s="1">
        <v>0.34239172935485801</v>
      </c>
      <c r="L69">
        <v>900038</v>
      </c>
      <c r="M69" s="2"/>
      <c r="N69" s="2">
        <v>67</v>
      </c>
      <c r="O69" s="1">
        <v>5.7255542278289697</v>
      </c>
      <c r="P69" s="1">
        <v>6.0328731536865199</v>
      </c>
      <c r="Q69" s="1">
        <v>0.49371099472045898</v>
      </c>
      <c r="R69">
        <v>550968</v>
      </c>
    </row>
    <row r="70" spans="2:18" x14ac:dyDescent="0.2">
      <c r="B70">
        <v>68</v>
      </c>
      <c r="C70" s="1">
        <v>4.4961929321289E-2</v>
      </c>
      <c r="D70" s="1">
        <v>5.06491661071777E-2</v>
      </c>
      <c r="E70" s="1">
        <v>0.206943988800048</v>
      </c>
      <c r="F70">
        <v>4029</v>
      </c>
      <c r="H70">
        <v>92</v>
      </c>
      <c r="I70" s="1">
        <v>0.44125699996948198</v>
      </c>
      <c r="J70" s="1">
        <v>0.27414679527282698</v>
      </c>
      <c r="K70" s="1">
        <v>0.102969884872436</v>
      </c>
      <c r="L70">
        <v>10864</v>
      </c>
      <c r="M70" s="2"/>
      <c r="N70" s="2">
        <v>68</v>
      </c>
      <c r="O70" s="1">
        <v>3.9767098426818799</v>
      </c>
      <c r="P70" s="1">
        <v>170.475791692733</v>
      </c>
      <c r="Q70" s="1">
        <v>2.0859000682830802</v>
      </c>
      <c r="R70">
        <v>187317</v>
      </c>
    </row>
    <row r="71" spans="2:18" x14ac:dyDescent="0.2">
      <c r="B71">
        <v>69</v>
      </c>
      <c r="C71" s="1">
        <v>6.6480159759521401E-2</v>
      </c>
      <c r="D71" s="1">
        <v>6.1167716979980399E-2</v>
      </c>
      <c r="E71" s="1">
        <v>0.188199043273925</v>
      </c>
      <c r="F71">
        <v>6419</v>
      </c>
      <c r="H71">
        <v>30</v>
      </c>
      <c r="I71" s="1">
        <v>0.91264796257018999</v>
      </c>
      <c r="J71" s="1">
        <v>0.27199888229370101</v>
      </c>
      <c r="K71" s="1">
        <v>0.14361906051635701</v>
      </c>
      <c r="L71">
        <v>317001</v>
      </c>
      <c r="M71" s="2"/>
      <c r="N71" s="2">
        <v>69</v>
      </c>
      <c r="O71" s="1">
        <v>6.7227282524108798</v>
      </c>
      <c r="P71" s="1">
        <v>1.3142390251159599</v>
      </c>
      <c r="Q71" s="1">
        <v>1.6218979358673</v>
      </c>
      <c r="R71">
        <v>488342</v>
      </c>
    </row>
    <row r="72" spans="2:18" x14ac:dyDescent="0.2">
      <c r="B72">
        <v>70</v>
      </c>
      <c r="C72" s="1">
        <v>1.75888800621032</v>
      </c>
      <c r="D72" s="1">
        <v>0.15301394462585399</v>
      </c>
      <c r="E72" s="1">
        <v>0.31021618843078602</v>
      </c>
      <c r="F72">
        <v>145652</v>
      </c>
      <c r="H72">
        <v>1</v>
      </c>
      <c r="I72" s="1">
        <v>3.3197999000549299</v>
      </c>
      <c r="J72" s="1">
        <v>0.27016496658325101</v>
      </c>
      <c r="K72" s="1">
        <v>1.4335789680480899</v>
      </c>
      <c r="L72">
        <v>97311</v>
      </c>
      <c r="M72" s="2"/>
      <c r="N72" s="2">
        <v>70</v>
      </c>
      <c r="O72" s="1">
        <v>3.6857128143310498E-2</v>
      </c>
      <c r="P72" s="1">
        <v>11.9096710681915</v>
      </c>
      <c r="Q72" s="1">
        <v>0.11849713325500399</v>
      </c>
      <c r="R72">
        <v>2143</v>
      </c>
    </row>
    <row r="73" spans="2:18" x14ac:dyDescent="0.2">
      <c r="B73">
        <v>71</v>
      </c>
      <c r="C73" s="1">
        <v>1.1599779129028299E-2</v>
      </c>
      <c r="D73" s="1">
        <v>0.113259077072143</v>
      </c>
      <c r="E73" s="1">
        <v>0.20697021484375</v>
      </c>
      <c r="F73">
        <v>670</v>
      </c>
      <c r="H73">
        <v>39</v>
      </c>
      <c r="I73" s="1">
        <v>0.29250192642211897</v>
      </c>
      <c r="J73" s="1">
        <v>0.26424407958984297</v>
      </c>
      <c r="K73" s="1">
        <v>0.133055925369262</v>
      </c>
      <c r="L73">
        <v>25190</v>
      </c>
      <c r="M73" s="2"/>
      <c r="N73" s="2">
        <v>71</v>
      </c>
      <c r="O73" s="1">
        <v>7.7303869724273602</v>
      </c>
      <c r="P73" s="1">
        <v>3.3460531234741202</v>
      </c>
      <c r="Q73" s="1">
        <v>0.141299962997436</v>
      </c>
      <c r="R73">
        <v>743871</v>
      </c>
    </row>
    <row r="74" spans="2:18" x14ac:dyDescent="0.2">
      <c r="B74">
        <v>72</v>
      </c>
      <c r="C74" s="1">
        <v>1.02889132499694</v>
      </c>
      <c r="D74" s="1">
        <v>0.40637588500976501</v>
      </c>
      <c r="E74" s="1">
        <v>0.14958310127258301</v>
      </c>
      <c r="F74">
        <v>115850</v>
      </c>
      <c r="H74">
        <v>98</v>
      </c>
      <c r="I74" s="1">
        <v>0.436429023742675</v>
      </c>
      <c r="J74" s="1">
        <v>0.26392602920532199</v>
      </c>
      <c r="K74" s="1">
        <v>0.102138757705688</v>
      </c>
      <c r="L74">
        <v>436541</v>
      </c>
      <c r="M74" s="2"/>
      <c r="N74" s="2">
        <v>72</v>
      </c>
      <c r="O74" s="1">
        <v>2.3272578716278001</v>
      </c>
      <c r="P74" s="1">
        <v>11.033772945403999</v>
      </c>
      <c r="Q74" s="1">
        <v>0.56423091888427701</v>
      </c>
      <c r="R74">
        <v>173792</v>
      </c>
    </row>
    <row r="75" spans="2:18" x14ac:dyDescent="0.2">
      <c r="B75">
        <v>73</v>
      </c>
      <c r="C75" s="1">
        <v>2.1836042404174801E-2</v>
      </c>
      <c r="D75" s="1">
        <v>2.7217149734497001E-2</v>
      </c>
      <c r="E75" s="1">
        <v>0.19284796714782701</v>
      </c>
      <c r="F75">
        <v>1927</v>
      </c>
      <c r="H75">
        <v>51</v>
      </c>
      <c r="I75" s="1">
        <v>7.5556452274322501</v>
      </c>
      <c r="J75" s="1">
        <v>0.25998520851135198</v>
      </c>
      <c r="K75" s="1">
        <v>0.354343891143798</v>
      </c>
      <c r="L75">
        <v>344608</v>
      </c>
      <c r="M75" s="2"/>
      <c r="N75" s="2">
        <v>73</v>
      </c>
      <c r="O75" s="1">
        <v>8.5320730209350497</v>
      </c>
      <c r="P75" s="1">
        <v>149.37982797622601</v>
      </c>
      <c r="Q75" s="1">
        <v>0.70107698440551702</v>
      </c>
      <c r="R75">
        <v>799796</v>
      </c>
    </row>
    <row r="76" spans="2:18" x14ac:dyDescent="0.2">
      <c r="B76">
        <v>74</v>
      </c>
      <c r="C76" s="1">
        <v>4.0312409400939897</v>
      </c>
      <c r="D76" s="1">
        <v>5.1766872406005797E-2</v>
      </c>
      <c r="E76" s="1">
        <v>0.178382873535156</v>
      </c>
      <c r="F76">
        <v>403938</v>
      </c>
      <c r="H76">
        <v>94</v>
      </c>
      <c r="I76" s="1">
        <v>0.65663123130798295</v>
      </c>
      <c r="J76" s="1">
        <v>0.248800039291381</v>
      </c>
      <c r="K76" s="1">
        <v>0.202722072601318</v>
      </c>
      <c r="L76">
        <v>107248</v>
      </c>
      <c r="M76" s="2"/>
      <c r="N76" s="2">
        <v>74</v>
      </c>
      <c r="O76" s="1">
        <v>1.2901132106780999</v>
      </c>
      <c r="P76" s="1">
        <v>1.01943087577819</v>
      </c>
      <c r="Q76" s="1">
        <v>0.59150695800781194</v>
      </c>
      <c r="R76">
        <v>72937</v>
      </c>
    </row>
    <row r="77" spans="2:18" x14ac:dyDescent="0.2">
      <c r="B77">
        <v>75</v>
      </c>
      <c r="C77" s="1">
        <v>3.5925340652465798</v>
      </c>
      <c r="D77" s="1">
        <v>1.8217527866363501</v>
      </c>
      <c r="E77" s="1">
        <v>0.209295034408569</v>
      </c>
      <c r="F77">
        <v>344983</v>
      </c>
      <c r="H77">
        <v>52</v>
      </c>
      <c r="I77" s="1">
        <v>0.96218490600585904</v>
      </c>
      <c r="J77" s="1">
        <v>0.24409294128417899</v>
      </c>
      <c r="K77" s="1">
        <v>0.344322919845581</v>
      </c>
      <c r="L77">
        <v>58756</v>
      </c>
      <c r="M77" s="2"/>
      <c r="N77" s="2">
        <v>75</v>
      </c>
      <c r="O77" s="1">
        <v>1.0734050273895199</v>
      </c>
      <c r="P77" s="1">
        <v>2.9585518836975</v>
      </c>
      <c r="Q77" s="1">
        <v>0.71445512771606401</v>
      </c>
      <c r="R77">
        <v>31997</v>
      </c>
    </row>
    <row r="78" spans="2:18" x14ac:dyDescent="0.2">
      <c r="B78">
        <v>76</v>
      </c>
      <c r="C78" s="1">
        <v>3.01434898376464</v>
      </c>
      <c r="D78" s="1">
        <v>1.0967607498168901</v>
      </c>
      <c r="E78" s="1">
        <v>0.28188180923461897</v>
      </c>
      <c r="F78">
        <v>354242</v>
      </c>
      <c r="H78">
        <v>21</v>
      </c>
      <c r="I78" s="1">
        <v>4.5444841384887598</v>
      </c>
      <c r="J78" s="1">
        <v>0.232562780380249</v>
      </c>
      <c r="K78" s="1">
        <v>0.24010920524597101</v>
      </c>
      <c r="L78">
        <v>160221</v>
      </c>
      <c r="M78" s="2"/>
      <c r="N78" s="2">
        <v>76</v>
      </c>
      <c r="O78" s="1">
        <v>4.8310670852661097</v>
      </c>
      <c r="P78" s="1">
        <v>0.42435288429260198</v>
      </c>
      <c r="Q78" s="1">
        <v>0.66598916053771895</v>
      </c>
      <c r="R78">
        <v>388241</v>
      </c>
    </row>
    <row r="79" spans="2:18" x14ac:dyDescent="0.2">
      <c r="B79">
        <v>77</v>
      </c>
      <c r="C79" s="1">
        <v>0.30627799034118602</v>
      </c>
      <c r="D79" s="1">
        <v>1.1527631282806301</v>
      </c>
      <c r="E79" s="1">
        <v>0.14239597320556599</v>
      </c>
      <c r="F79">
        <v>31499</v>
      </c>
      <c r="H79">
        <v>99</v>
      </c>
      <c r="I79" s="1">
        <v>1.2257730960845901</v>
      </c>
      <c r="J79" s="1">
        <v>0.21214795112609799</v>
      </c>
      <c r="K79" s="1">
        <v>0.24748802185058499</v>
      </c>
      <c r="L79">
        <v>91889</v>
      </c>
      <c r="M79" s="2"/>
      <c r="N79" s="2">
        <v>77</v>
      </c>
      <c r="O79" s="1">
        <v>2.7308042049407901</v>
      </c>
      <c r="P79" s="1">
        <v>6.7174561023712096</v>
      </c>
      <c r="Q79" s="1">
        <v>0.83441519737243597</v>
      </c>
      <c r="R79">
        <v>208121</v>
      </c>
    </row>
    <row r="80" spans="2:18" x14ac:dyDescent="0.2">
      <c r="B80">
        <v>78</v>
      </c>
      <c r="C80" s="1">
        <v>1.0254859924316399E-2</v>
      </c>
      <c r="D80" s="1">
        <v>0.22264695167541501</v>
      </c>
      <c r="E80" s="1">
        <v>0.16155195236205999</v>
      </c>
      <c r="F80">
        <v>839</v>
      </c>
      <c r="H80">
        <v>8</v>
      </c>
      <c r="I80" s="1">
        <v>7.5054001808166504</v>
      </c>
      <c r="J80" s="1">
        <v>0.20812535285949699</v>
      </c>
      <c r="K80" s="1">
        <v>0.34819912910461398</v>
      </c>
      <c r="L80">
        <v>40405</v>
      </c>
      <c r="M80" s="2"/>
      <c r="N80" s="2">
        <v>78</v>
      </c>
      <c r="O80" s="1">
        <v>5.3735277652740399</v>
      </c>
      <c r="P80" s="1">
        <v>1.4808759689330999</v>
      </c>
      <c r="Q80" s="1">
        <v>1.4283471107482899</v>
      </c>
      <c r="R80">
        <v>366341</v>
      </c>
    </row>
    <row r="81" spans="2:18" x14ac:dyDescent="0.2">
      <c r="B81">
        <v>79</v>
      </c>
      <c r="C81" s="1">
        <v>7.3656082153320299E-2</v>
      </c>
      <c r="D81" s="1">
        <v>6.3246726989746094E-2</v>
      </c>
      <c r="E81" s="1">
        <v>0.18851208686828599</v>
      </c>
      <c r="F81">
        <v>7446</v>
      </c>
      <c r="H81">
        <v>14</v>
      </c>
      <c r="I81" s="1">
        <v>4.6524560451507497</v>
      </c>
      <c r="J81" s="1">
        <v>0.20516514778137199</v>
      </c>
      <c r="K81" s="1">
        <v>0.124025106430053</v>
      </c>
      <c r="L81">
        <v>186609</v>
      </c>
      <c r="M81" s="2"/>
      <c r="N81" s="2">
        <v>79</v>
      </c>
      <c r="O81" s="1">
        <v>2.74641513824462</v>
      </c>
      <c r="P81" s="1">
        <v>4.1995141506194997</v>
      </c>
      <c r="Q81" s="1">
        <v>0.292379140853881</v>
      </c>
      <c r="R81">
        <v>288389</v>
      </c>
    </row>
    <row r="82" spans="2:18" x14ac:dyDescent="0.2">
      <c r="B82">
        <v>80</v>
      </c>
      <c r="C82" s="1">
        <v>1.48992300033569</v>
      </c>
      <c r="D82" s="1">
        <v>4.6184301376342697E-2</v>
      </c>
      <c r="E82" s="1">
        <v>0.15532493591308499</v>
      </c>
      <c r="F82">
        <v>143453</v>
      </c>
      <c r="H82">
        <v>78</v>
      </c>
      <c r="I82" s="1">
        <v>0.436551094055175</v>
      </c>
      <c r="J82" s="1">
        <v>0.205032348632812</v>
      </c>
      <c r="K82" s="1">
        <v>0.157094001770019</v>
      </c>
      <c r="L82">
        <v>50018</v>
      </c>
      <c r="M82" s="2"/>
      <c r="N82" s="2">
        <v>80</v>
      </c>
      <c r="O82" s="1">
        <v>2.3672668933868399</v>
      </c>
      <c r="P82" s="1">
        <v>4.3387308120727504</v>
      </c>
      <c r="Q82" s="1">
        <v>0.24821305274963301</v>
      </c>
      <c r="R82">
        <v>236663</v>
      </c>
    </row>
    <row r="83" spans="2:18" x14ac:dyDescent="0.2">
      <c r="B83">
        <v>81</v>
      </c>
      <c r="C83" s="1">
        <v>3.4677982330322203E-2</v>
      </c>
      <c r="D83" s="1">
        <v>0.12637019157409601</v>
      </c>
      <c r="E83" s="1">
        <v>0.171282052993774</v>
      </c>
      <c r="F83">
        <v>3886</v>
      </c>
      <c r="H83">
        <v>89</v>
      </c>
      <c r="I83" s="1">
        <v>4.6998338699340803</v>
      </c>
      <c r="J83" s="1">
        <v>0.201637983322143</v>
      </c>
      <c r="K83" s="1">
        <v>0.124696969985961</v>
      </c>
      <c r="L83">
        <v>245961</v>
      </c>
      <c r="M83" s="2"/>
      <c r="N83" s="2">
        <v>81</v>
      </c>
      <c r="O83" s="1">
        <v>4.1210849285125697</v>
      </c>
      <c r="P83" s="1">
        <v>164.76556301116901</v>
      </c>
      <c r="Q83" s="1">
        <v>1.1050879955291699</v>
      </c>
      <c r="R83">
        <v>292432</v>
      </c>
    </row>
    <row r="84" spans="2:18" x14ac:dyDescent="0.2">
      <c r="B84">
        <v>82</v>
      </c>
      <c r="C84" s="1">
        <v>1.7835152149200399</v>
      </c>
      <c r="D84" s="1">
        <v>0.26147103309631298</v>
      </c>
      <c r="E84" s="1">
        <v>0.24726390838623</v>
      </c>
      <c r="F84">
        <v>180624</v>
      </c>
      <c r="H84">
        <v>2</v>
      </c>
      <c r="I84" s="1">
        <v>4.6797189712524396</v>
      </c>
      <c r="J84" s="1">
        <v>0.19773888587951599</v>
      </c>
      <c r="K84" s="1">
        <v>0.1251802444458</v>
      </c>
      <c r="L84">
        <v>112417</v>
      </c>
      <c r="M84" s="2"/>
      <c r="N84" s="2">
        <v>82</v>
      </c>
      <c r="O84" s="1">
        <v>4.5235509872436497</v>
      </c>
      <c r="P84" s="1">
        <v>10.6356160640716</v>
      </c>
      <c r="Q84" s="1">
        <v>0.16407513618469199</v>
      </c>
      <c r="R84">
        <v>484927</v>
      </c>
    </row>
    <row r="85" spans="2:18" x14ac:dyDescent="0.2">
      <c r="B85">
        <v>83</v>
      </c>
      <c r="C85" s="1">
        <v>0.27584505081176702</v>
      </c>
      <c r="D85" s="1">
        <v>0.16428422927856401</v>
      </c>
      <c r="E85" s="1">
        <v>0.175060033798217</v>
      </c>
      <c r="F85">
        <v>27672</v>
      </c>
      <c r="H85">
        <v>9</v>
      </c>
      <c r="I85" s="1">
        <v>0.28757929801940901</v>
      </c>
      <c r="J85" s="1">
        <v>0.19677710533142001</v>
      </c>
      <c r="K85" s="1">
        <v>0.148117065429687</v>
      </c>
      <c r="L85">
        <v>52765</v>
      </c>
      <c r="M85" s="2"/>
      <c r="N85" s="2">
        <v>83</v>
      </c>
      <c r="O85" s="1">
        <v>9.2141368389129603</v>
      </c>
      <c r="P85" s="1">
        <v>152.292895078659</v>
      </c>
      <c r="Q85" s="1">
        <v>2.55519199371337</v>
      </c>
      <c r="R85">
        <v>631586</v>
      </c>
    </row>
    <row r="86" spans="2:18" x14ac:dyDescent="0.2">
      <c r="B86">
        <v>84</v>
      </c>
      <c r="C86" s="1">
        <v>0.27641201019287098</v>
      </c>
      <c r="D86" s="1">
        <v>0.171010017395019</v>
      </c>
      <c r="E86" s="1">
        <v>0.18081998825073201</v>
      </c>
      <c r="F86">
        <v>27755</v>
      </c>
      <c r="H86">
        <v>41</v>
      </c>
      <c r="I86" s="1">
        <v>2.2405366897582999</v>
      </c>
      <c r="J86" s="1">
        <v>0.19165897369384699</v>
      </c>
      <c r="K86" s="1">
        <v>0.22199511528015101</v>
      </c>
      <c r="L86">
        <v>422945</v>
      </c>
      <c r="M86" s="2"/>
      <c r="N86" s="2">
        <v>84</v>
      </c>
      <c r="O86" s="1">
        <v>8.7044954299926702E-2</v>
      </c>
      <c r="P86" s="1">
        <v>1.2619199752807599</v>
      </c>
      <c r="Q86" s="1">
        <v>7.9239845275878906E-2</v>
      </c>
      <c r="R86">
        <v>5904</v>
      </c>
    </row>
    <row r="87" spans="2:18" x14ac:dyDescent="0.2">
      <c r="B87">
        <v>85</v>
      </c>
      <c r="C87" s="1">
        <v>2.2397329807281401</v>
      </c>
      <c r="D87" s="1">
        <v>1.1787300109863199</v>
      </c>
      <c r="E87" s="1">
        <v>0.20622992515563901</v>
      </c>
      <c r="F87">
        <v>225512</v>
      </c>
      <c r="H87">
        <v>48</v>
      </c>
      <c r="I87" s="1">
        <v>2.5535106658935498E-2</v>
      </c>
      <c r="J87" s="1">
        <v>0.19063806533813399</v>
      </c>
      <c r="K87" s="1">
        <v>0.14619684219360299</v>
      </c>
      <c r="L87">
        <v>187993</v>
      </c>
      <c r="M87" s="2"/>
      <c r="N87" s="2">
        <v>85</v>
      </c>
      <c r="O87" s="1">
        <v>0.16818571090698201</v>
      </c>
      <c r="P87" s="1">
        <v>15.6691789627075</v>
      </c>
      <c r="Q87" s="1">
        <v>0.113043069839477</v>
      </c>
      <c r="R87">
        <v>15154</v>
      </c>
    </row>
    <row r="88" spans="2:18" x14ac:dyDescent="0.2">
      <c r="B88">
        <v>86</v>
      </c>
      <c r="C88" s="1">
        <v>3.7428660392761199</v>
      </c>
      <c r="D88" s="1">
        <v>7.1641206741332994E-2</v>
      </c>
      <c r="E88" s="1">
        <v>0.220947980880737</v>
      </c>
      <c r="F88">
        <v>404395</v>
      </c>
      <c r="H88">
        <v>15</v>
      </c>
      <c r="I88" s="1">
        <v>0.53823113441467196</v>
      </c>
      <c r="J88" s="1">
        <v>0.19015622138977001</v>
      </c>
      <c r="K88" s="1">
        <v>0.16192197799682601</v>
      </c>
      <c r="L88">
        <v>315694</v>
      </c>
      <c r="M88" s="2"/>
      <c r="N88" s="2">
        <v>86</v>
      </c>
      <c r="O88" s="1">
        <v>2.59112501144409</v>
      </c>
      <c r="P88" s="1">
        <v>2.5465071201324401</v>
      </c>
      <c r="Q88" s="1">
        <v>0.98290562629699696</v>
      </c>
      <c r="R88">
        <v>177369</v>
      </c>
    </row>
    <row r="89" spans="2:18" x14ac:dyDescent="0.2">
      <c r="B89">
        <v>87</v>
      </c>
      <c r="C89" s="1">
        <v>0.93592882156372004</v>
      </c>
      <c r="D89" s="1">
        <v>3.1291961669921799E-2</v>
      </c>
      <c r="E89" s="1">
        <v>0.20679783821105899</v>
      </c>
      <c r="F89">
        <v>101728</v>
      </c>
      <c r="H89">
        <v>38</v>
      </c>
      <c r="I89" s="1">
        <v>1.8979799747467001</v>
      </c>
      <c r="J89" s="1">
        <v>0.18152999877929599</v>
      </c>
      <c r="K89" s="1">
        <v>0.17334008216857899</v>
      </c>
      <c r="L89">
        <v>79967</v>
      </c>
      <c r="M89" s="2"/>
      <c r="N89" s="2">
        <v>87</v>
      </c>
      <c r="O89" s="1">
        <v>6.4266030788421604</v>
      </c>
      <c r="P89" s="1">
        <v>5.0318100452423096</v>
      </c>
      <c r="Q89" s="1">
        <v>1.51979708671569</v>
      </c>
      <c r="R89">
        <v>477116</v>
      </c>
    </row>
    <row r="90" spans="2:18" x14ac:dyDescent="0.2">
      <c r="B90">
        <v>88</v>
      </c>
      <c r="C90" s="1">
        <v>0.98570990562438898</v>
      </c>
      <c r="D90" s="1">
        <v>6.5618038177490207E-2</v>
      </c>
      <c r="E90" s="1">
        <v>0.14959120750427199</v>
      </c>
      <c r="F90">
        <v>109704</v>
      </c>
      <c r="H90">
        <v>7</v>
      </c>
      <c r="I90" s="1">
        <v>6.3211069107055602</v>
      </c>
      <c r="J90" s="1">
        <v>0.14891290664672799</v>
      </c>
      <c r="K90" s="1">
        <v>0.59561800956725997</v>
      </c>
      <c r="L90">
        <v>679488</v>
      </c>
      <c r="M90" s="2"/>
      <c r="N90" s="2">
        <v>88</v>
      </c>
      <c r="O90" s="1">
        <v>1.29369497299194</v>
      </c>
      <c r="P90" s="1">
        <v>170.359791994094</v>
      </c>
      <c r="Q90" s="1">
        <v>0.44555187225341703</v>
      </c>
      <c r="R90">
        <v>80907</v>
      </c>
    </row>
    <row r="91" spans="2:18" x14ac:dyDescent="0.2">
      <c r="B91">
        <v>89</v>
      </c>
      <c r="C91" s="1">
        <v>0.37474727630615201</v>
      </c>
      <c r="D91" s="1">
        <v>0.13406491279602001</v>
      </c>
      <c r="E91" s="1">
        <v>0.16973280906677199</v>
      </c>
      <c r="F91">
        <v>41431</v>
      </c>
      <c r="H91">
        <v>32</v>
      </c>
      <c r="I91" s="1">
        <v>0.42769098281860302</v>
      </c>
      <c r="J91" s="1">
        <v>0.14728379249572701</v>
      </c>
      <c r="K91" s="1">
        <v>0.15778088569641099</v>
      </c>
      <c r="L91">
        <v>394783</v>
      </c>
      <c r="M91" s="2"/>
      <c r="N91" s="2">
        <v>89</v>
      </c>
      <c r="O91" s="1">
        <v>5.64412021636962</v>
      </c>
      <c r="P91" s="1">
        <v>19.9570569992065</v>
      </c>
      <c r="Q91" s="1">
        <v>1.0807969570159901</v>
      </c>
      <c r="R91">
        <v>469621</v>
      </c>
    </row>
    <row r="92" spans="2:18" x14ac:dyDescent="0.2">
      <c r="B92">
        <v>90</v>
      </c>
      <c r="C92" s="1">
        <v>2.9646811485290501</v>
      </c>
      <c r="D92" s="1">
        <v>1.14901494979858</v>
      </c>
      <c r="E92" s="1">
        <v>0.27584815025329501</v>
      </c>
      <c r="F92">
        <v>354242</v>
      </c>
      <c r="H92">
        <v>76</v>
      </c>
      <c r="I92" s="1">
        <v>1.66038990020751</v>
      </c>
      <c r="J92" s="1">
        <v>0.14434695243835399</v>
      </c>
      <c r="K92" s="1">
        <v>0.141336679458618</v>
      </c>
      <c r="L92">
        <v>90990</v>
      </c>
      <c r="M92" s="2"/>
      <c r="N92" s="2">
        <v>90</v>
      </c>
      <c r="O92" s="1">
        <v>1.8390691280364899</v>
      </c>
      <c r="P92" s="1">
        <v>7.5589570999145499</v>
      </c>
      <c r="Q92" s="1">
        <v>0.374375820159912</v>
      </c>
      <c r="R92">
        <v>167713</v>
      </c>
    </row>
    <row r="93" spans="2:18" x14ac:dyDescent="0.2">
      <c r="B93">
        <v>91</v>
      </c>
      <c r="C93" s="1">
        <v>6.4628124237060505E-2</v>
      </c>
      <c r="D93" s="1">
        <v>0.123480081558227</v>
      </c>
      <c r="E93" s="1">
        <v>0.18720006942749001</v>
      </c>
      <c r="F93">
        <v>6598</v>
      </c>
      <c r="H93">
        <v>56</v>
      </c>
      <c r="I93" s="1">
        <v>1.2132041454315099</v>
      </c>
      <c r="J93" s="1">
        <v>0.13870000839233301</v>
      </c>
      <c r="K93" s="1">
        <v>0.133753776550292</v>
      </c>
      <c r="L93">
        <v>28967</v>
      </c>
      <c r="M93" s="2"/>
      <c r="N93" s="2">
        <v>91</v>
      </c>
      <c r="O93" s="1">
        <v>9.1387331485748202</v>
      </c>
      <c r="P93" s="1">
        <v>150.28815317153899</v>
      </c>
      <c r="Q93" s="1">
        <v>2.5742301940917902</v>
      </c>
      <c r="R93">
        <v>631586</v>
      </c>
    </row>
    <row r="94" spans="2:18" x14ac:dyDescent="0.2">
      <c r="B94">
        <v>92</v>
      </c>
      <c r="C94" s="1">
        <v>0.40089082717895502</v>
      </c>
      <c r="D94" s="1">
        <v>6.5647840499877902E-2</v>
      </c>
      <c r="E94" s="1">
        <v>0.206427097320556</v>
      </c>
      <c r="F94">
        <v>39388</v>
      </c>
      <c r="H94">
        <v>82</v>
      </c>
      <c r="I94" s="1">
        <v>1.22111296653747</v>
      </c>
      <c r="J94" s="1">
        <v>0.13675594329833901</v>
      </c>
      <c r="K94" s="1">
        <v>0.20977783203125</v>
      </c>
      <c r="L94">
        <v>47902</v>
      </c>
      <c r="M94" s="2"/>
      <c r="N94" s="2">
        <v>92</v>
      </c>
      <c r="O94" s="1">
        <v>2.48057508468627</v>
      </c>
      <c r="P94" s="1">
        <v>3.9464368820190399</v>
      </c>
      <c r="Q94" s="1">
        <v>0.24461483955383301</v>
      </c>
      <c r="R94">
        <v>236663</v>
      </c>
    </row>
    <row r="95" spans="2:18" x14ac:dyDescent="0.2">
      <c r="B95">
        <v>93</v>
      </c>
      <c r="C95" s="1">
        <v>0.93059611320495605</v>
      </c>
      <c r="D95" s="1">
        <v>0.160340070724487</v>
      </c>
      <c r="E95" s="1">
        <v>0.13699316978454501</v>
      </c>
      <c r="F95">
        <v>99247</v>
      </c>
      <c r="H95">
        <v>17</v>
      </c>
      <c r="I95" s="1">
        <v>1.1419751644134499</v>
      </c>
      <c r="J95" s="1">
        <v>0.134841918945312</v>
      </c>
      <c r="K95" s="1">
        <v>0.240293979644775</v>
      </c>
      <c r="L95">
        <v>531515</v>
      </c>
      <c r="M95" s="2"/>
      <c r="N95" s="2">
        <v>93</v>
      </c>
      <c r="O95" s="1">
        <v>2.7681078910827601</v>
      </c>
      <c r="P95" s="1">
        <v>3.8655099868774401</v>
      </c>
      <c r="Q95" s="1">
        <v>0.28706288337707497</v>
      </c>
      <c r="R95">
        <v>288389</v>
      </c>
    </row>
    <row r="96" spans="2:18" x14ac:dyDescent="0.2">
      <c r="B96">
        <v>94</v>
      </c>
      <c r="C96" s="1">
        <v>1.4520900249481199</v>
      </c>
      <c r="D96" s="1">
        <v>5.9097051620483398E-2</v>
      </c>
      <c r="E96" s="1">
        <v>0.203202009201049</v>
      </c>
      <c r="F96">
        <v>143115</v>
      </c>
      <c r="H96">
        <v>49</v>
      </c>
      <c r="I96" s="1">
        <v>2.4585962295532199E-2</v>
      </c>
      <c r="J96" s="1">
        <v>0.13443899154663</v>
      </c>
      <c r="K96" s="1">
        <v>0.14683699607849099</v>
      </c>
      <c r="L96">
        <v>60058</v>
      </c>
      <c r="M96" s="2"/>
      <c r="N96" s="2">
        <v>94</v>
      </c>
      <c r="O96" s="1">
        <v>1.06782102584838</v>
      </c>
      <c r="P96" s="1">
        <v>1.9078688621520901</v>
      </c>
      <c r="Q96" s="1">
        <v>0.26704597473144498</v>
      </c>
      <c r="R96">
        <v>81209</v>
      </c>
    </row>
    <row r="97" spans="2:18" x14ac:dyDescent="0.2">
      <c r="B97">
        <v>95</v>
      </c>
      <c r="C97" s="1">
        <v>0.144146919250488</v>
      </c>
      <c r="D97" s="1">
        <v>6.2839984893798802E-3</v>
      </c>
      <c r="E97" s="1">
        <v>0.23563814163207999</v>
      </c>
      <c r="F97">
        <v>14831</v>
      </c>
      <c r="H97">
        <v>84</v>
      </c>
      <c r="I97" s="1">
        <v>3.8631780147552401</v>
      </c>
      <c r="J97" s="1">
        <v>0.10762906074523899</v>
      </c>
      <c r="K97" s="1">
        <v>0.164417028427124</v>
      </c>
      <c r="L97">
        <v>368593</v>
      </c>
      <c r="M97" s="2"/>
      <c r="N97" s="2">
        <v>95</v>
      </c>
      <c r="O97" s="1">
        <v>0.72578406333923295</v>
      </c>
      <c r="P97" s="1">
        <v>4.60408210754394</v>
      </c>
      <c r="Q97" s="1">
        <v>0.25118374824523898</v>
      </c>
      <c r="R97">
        <v>56743</v>
      </c>
    </row>
    <row r="98" spans="2:18" x14ac:dyDescent="0.2">
      <c r="B98">
        <v>96</v>
      </c>
      <c r="C98" s="1">
        <v>2.5543928146362301E-2</v>
      </c>
      <c r="D98" s="1">
        <v>3.0882596969604399E-2</v>
      </c>
      <c r="E98" s="1">
        <v>0.19069504737854001</v>
      </c>
      <c r="F98">
        <v>2344</v>
      </c>
      <c r="H98">
        <v>97</v>
      </c>
      <c r="I98" s="1">
        <v>7.5125460624694798</v>
      </c>
      <c r="J98" s="1">
        <v>9.8501920700073201E-2</v>
      </c>
      <c r="K98" s="1">
        <v>0.146089792251586</v>
      </c>
      <c r="L98">
        <v>151025</v>
      </c>
      <c r="M98" s="2"/>
      <c r="N98" s="2">
        <v>96</v>
      </c>
      <c r="O98" s="1">
        <v>1.9555790424346899</v>
      </c>
      <c r="P98" s="1">
        <v>25.647968053817699</v>
      </c>
      <c r="Q98" s="1">
        <v>0.37100315093994102</v>
      </c>
      <c r="R98">
        <v>146541</v>
      </c>
    </row>
    <row r="99" spans="2:18" x14ac:dyDescent="0.2">
      <c r="B99">
        <v>97</v>
      </c>
      <c r="C99" s="1">
        <v>5.2222013473510701E-2</v>
      </c>
      <c r="D99" s="1">
        <v>0.15378117561340299</v>
      </c>
      <c r="E99" s="1">
        <v>0.19366025924682601</v>
      </c>
      <c r="F99">
        <v>5233</v>
      </c>
      <c r="H99">
        <v>26</v>
      </c>
      <c r="I99" s="1">
        <v>0.48680305480956998</v>
      </c>
      <c r="J99" s="1">
        <v>9.3198776245117104E-2</v>
      </c>
      <c r="K99" s="1">
        <v>0.219967126846313</v>
      </c>
      <c r="L99">
        <v>775629</v>
      </c>
      <c r="M99" s="2"/>
      <c r="N99" s="2">
        <v>97</v>
      </c>
      <c r="O99" s="1">
        <v>0.28034305572509699</v>
      </c>
      <c r="P99" s="1">
        <v>1.4555149078369101</v>
      </c>
      <c r="Q99" s="1">
        <v>0.137483119964599</v>
      </c>
      <c r="R99">
        <v>22532</v>
      </c>
    </row>
    <row r="100" spans="2:18" x14ac:dyDescent="0.2">
      <c r="B100">
        <v>98</v>
      </c>
      <c r="C100" s="1">
        <v>9.5233201980590806E-2</v>
      </c>
      <c r="D100" s="1">
        <v>0.10491895675659101</v>
      </c>
      <c r="E100" s="1">
        <v>0.16271591186523399</v>
      </c>
      <c r="F100">
        <v>9462</v>
      </c>
      <c r="H100">
        <v>65</v>
      </c>
      <c r="I100" s="1">
        <v>1.16742396354675</v>
      </c>
      <c r="J100" s="1">
        <v>7.9488992691039997E-2</v>
      </c>
      <c r="K100" s="1">
        <v>0.169054985046386</v>
      </c>
      <c r="L100">
        <v>47902</v>
      </c>
      <c r="M100" s="2"/>
      <c r="N100" s="2">
        <v>98</v>
      </c>
      <c r="O100" s="1">
        <v>8.2328000068664497</v>
      </c>
      <c r="P100" s="1">
        <v>13.409968137741</v>
      </c>
      <c r="Q100" s="1">
        <v>0.43825888633728</v>
      </c>
      <c r="R100">
        <v>757903</v>
      </c>
    </row>
    <row r="101" spans="2:18" x14ac:dyDescent="0.2">
      <c r="B101">
        <v>99</v>
      </c>
      <c r="C101" s="1">
        <v>0.21936893463134699</v>
      </c>
      <c r="D101" s="1">
        <v>0.12295794486999501</v>
      </c>
      <c r="E101" s="1">
        <v>0.15499281883239699</v>
      </c>
      <c r="F101">
        <v>19978</v>
      </c>
      <c r="H101">
        <v>10</v>
      </c>
      <c r="I101" s="1">
        <v>0.761302709579467</v>
      </c>
      <c r="J101" s="1">
        <v>5.4395914077758699E-2</v>
      </c>
      <c r="K101" s="1">
        <v>0.244622707366943</v>
      </c>
      <c r="L101">
        <v>105555</v>
      </c>
      <c r="M101" s="2"/>
      <c r="N101" s="2">
        <v>99</v>
      </c>
      <c r="O101" s="1">
        <v>7.9330921173095703E-2</v>
      </c>
      <c r="P101" s="1">
        <v>4.6691768169402996</v>
      </c>
      <c r="Q101" s="1">
        <v>9.0441942214965806E-2</v>
      </c>
      <c r="R101">
        <v>5707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Difficulty2Graph</vt:lpstr>
      <vt:lpstr>Difficulty3Graph</vt:lpstr>
      <vt:lpstr>Difficulty4Graph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Luis Urena</dc:creator>
  <cp:lastModifiedBy>Jean Luis Urena</cp:lastModifiedBy>
  <dcterms:created xsi:type="dcterms:W3CDTF">2026-04-21T21:23:00Z</dcterms:created>
  <dcterms:modified xsi:type="dcterms:W3CDTF">2026-04-22T15:26:27Z</dcterms:modified>
</cp:coreProperties>
</file>